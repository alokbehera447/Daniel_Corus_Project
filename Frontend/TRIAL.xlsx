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_Saxena\Downloads\"/>
    </mc:Choice>
  </mc:AlternateContent>
  <xr:revisionPtr revIDLastSave="0" documentId="8_{F3DD15CD-CB35-4CD6-AED7-1BF7052DEC0A}" xr6:coauthVersionLast="47" xr6:coauthVersionMax="47" xr10:uidLastSave="{00000000-0000-0000-0000-000000000000}"/>
  <bookViews>
    <workbookView xWindow="-110" yWindow="-110" windowWidth="19420" windowHeight="10420" firstSheet="1" activeTab="1" xr2:uid="{E89E265E-7918-4E74-AD68-09E95B0FF41C}"/>
  </bookViews>
  <sheets>
    <sheet name="Sheet2" sheetId="2" state="hidden" r:id="rId1"/>
    <sheet name="Sheet1" sheetId="1" r:id="rId2"/>
    <sheet name="Sheet4" sheetId="4" state="hidden" r:id="rId3"/>
  </sheets>
  <definedNames>
    <definedName name="_xlnm._FilterDatabase" localSheetId="1" hidden="1">Sheet1!$A$1:$M$58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2" l="1"/>
  <c r="H50" i="2"/>
  <c r="H49" i="2"/>
  <c r="H58" i="1" l="1"/>
  <c r="H57" i="1"/>
  <c r="H56" i="1"/>
  <c r="L56" i="1" s="1"/>
  <c r="H55" i="1"/>
  <c r="H54" i="1"/>
  <c r="H53" i="1"/>
  <c r="H52" i="1"/>
  <c r="H51" i="1"/>
  <c r="H50" i="1"/>
  <c r="H49" i="1"/>
  <c r="H48" i="1"/>
  <c r="L48" i="1" s="1"/>
  <c r="H47" i="1"/>
  <c r="H46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L43" i="1" s="1"/>
  <c r="H44" i="1"/>
  <c r="H19" i="1"/>
  <c r="H20" i="1"/>
  <c r="H21" i="1"/>
  <c r="H22" i="1"/>
  <c r="H23" i="1"/>
  <c r="H16" i="1"/>
  <c r="H17" i="1"/>
  <c r="L17" i="1" s="1"/>
  <c r="H18" i="1"/>
  <c r="H7" i="1"/>
  <c r="H8" i="1"/>
  <c r="H9" i="1"/>
  <c r="H10" i="1"/>
  <c r="H11" i="1"/>
  <c r="H12" i="1"/>
  <c r="H13" i="1"/>
  <c r="H14" i="1"/>
  <c r="H15" i="1"/>
  <c r="H3" i="1"/>
  <c r="H4" i="1"/>
  <c r="H5" i="1"/>
  <c r="H6" i="1"/>
  <c r="H2" i="1"/>
  <c r="L2" i="1" s="1"/>
  <c r="J56" i="1" l="1"/>
  <c r="M56" i="1" s="1"/>
  <c r="J48" i="1"/>
  <c r="M48" i="1" s="1"/>
  <c r="J43" i="1"/>
  <c r="M43" i="1" s="1"/>
  <c r="J7" i="1"/>
  <c r="M7" i="1" s="1"/>
  <c r="L7" i="1"/>
  <c r="J52" i="1"/>
  <c r="M52" i="1" s="1"/>
  <c r="L52" i="1"/>
  <c r="J38" i="1"/>
  <c r="M38" i="1" s="1"/>
  <c r="L38" i="1"/>
  <c r="J53" i="1"/>
  <c r="M53" i="1" s="1"/>
  <c r="L53" i="1"/>
  <c r="J13" i="1"/>
  <c r="M13" i="1" s="1"/>
  <c r="L13" i="1"/>
  <c r="J17" i="1"/>
  <c r="M17" i="1" s="1"/>
  <c r="J44" i="1"/>
  <c r="M44" i="1" s="1"/>
  <c r="L44" i="1"/>
  <c r="J37" i="1"/>
  <c r="M37" i="1" s="1"/>
  <c r="L37" i="1"/>
  <c r="J29" i="1"/>
  <c r="M29" i="1" s="1"/>
  <c r="L29" i="1"/>
  <c r="J46" i="1"/>
  <c r="M46" i="1" s="1"/>
  <c r="L46" i="1"/>
  <c r="J54" i="1"/>
  <c r="M54" i="1" s="1"/>
  <c r="L54" i="1"/>
  <c r="J39" i="1"/>
  <c r="M39" i="1" s="1"/>
  <c r="L39" i="1"/>
  <c r="J14" i="1"/>
  <c r="M14" i="1" s="1"/>
  <c r="L14" i="1"/>
  <c r="J2" i="1"/>
  <c r="M2" i="1" s="1"/>
  <c r="J55" i="1"/>
  <c r="M55" i="1" s="1"/>
  <c r="L55" i="1"/>
  <c r="J35" i="1"/>
  <c r="M35" i="1" s="1"/>
  <c r="L35" i="1"/>
  <c r="J27" i="1"/>
  <c r="M27" i="1" s="1"/>
  <c r="L27" i="1"/>
  <c r="J15" i="1"/>
  <c r="M15" i="1" s="1"/>
  <c r="L15" i="1"/>
  <c r="J30" i="1"/>
  <c r="M30" i="1" s="1"/>
  <c r="L30" i="1"/>
  <c r="J36" i="1"/>
  <c r="M36" i="1" s="1"/>
  <c r="L36" i="1"/>
  <c r="J11" i="1"/>
  <c r="M11" i="1" s="1"/>
  <c r="L11" i="1"/>
  <c r="J5" i="1"/>
  <c r="M5" i="1" s="1"/>
  <c r="L5" i="1"/>
  <c r="J10" i="1"/>
  <c r="M10" i="1" s="1"/>
  <c r="L10" i="1"/>
  <c r="J23" i="1"/>
  <c r="M23" i="1" s="1"/>
  <c r="L23" i="1"/>
  <c r="J42" i="1"/>
  <c r="M42" i="1" s="1"/>
  <c r="L42" i="1"/>
  <c r="J34" i="1"/>
  <c r="M34" i="1" s="1"/>
  <c r="L34" i="1"/>
  <c r="J26" i="1"/>
  <c r="M26" i="1" s="1"/>
  <c r="L26" i="1"/>
  <c r="J49" i="1"/>
  <c r="M49" i="1" s="1"/>
  <c r="L49" i="1"/>
  <c r="J57" i="1"/>
  <c r="M57" i="1" s="1"/>
  <c r="L57" i="1"/>
  <c r="J20" i="1"/>
  <c r="M20" i="1" s="1"/>
  <c r="L20" i="1"/>
  <c r="J19" i="1"/>
  <c r="M19" i="1" s="1"/>
  <c r="L19" i="1"/>
  <c r="J12" i="1"/>
  <c r="M12" i="1" s="1"/>
  <c r="L12" i="1"/>
  <c r="J28" i="1"/>
  <c r="M28" i="1" s="1"/>
  <c r="L28" i="1"/>
  <c r="J6" i="1"/>
  <c r="M6" i="1" s="1"/>
  <c r="L6" i="1"/>
  <c r="J4" i="1"/>
  <c r="M4" i="1" s="1"/>
  <c r="L4" i="1"/>
  <c r="J9" i="1"/>
  <c r="M9" i="1" s="1"/>
  <c r="L9" i="1"/>
  <c r="J22" i="1"/>
  <c r="M22" i="1" s="1"/>
  <c r="L22" i="1"/>
  <c r="J41" i="1"/>
  <c r="M41" i="1" s="1"/>
  <c r="L41" i="1"/>
  <c r="J33" i="1"/>
  <c r="M33" i="1" s="1"/>
  <c r="L33" i="1"/>
  <c r="J25" i="1"/>
  <c r="M25" i="1" s="1"/>
  <c r="L25" i="1"/>
  <c r="J50" i="1"/>
  <c r="M50" i="1" s="1"/>
  <c r="L50" i="1"/>
  <c r="J58" i="1"/>
  <c r="M58" i="1" s="1"/>
  <c r="L58" i="1"/>
  <c r="J31" i="1"/>
  <c r="M31" i="1" s="1"/>
  <c r="L31" i="1"/>
  <c r="J18" i="1"/>
  <c r="M18" i="1" s="1"/>
  <c r="L18" i="1"/>
  <c r="J47" i="1"/>
  <c r="M47" i="1" s="1"/>
  <c r="L47" i="1"/>
  <c r="J16" i="1"/>
  <c r="M16" i="1" s="1"/>
  <c r="L16" i="1"/>
  <c r="J3" i="1"/>
  <c r="M3" i="1" s="1"/>
  <c r="L3" i="1"/>
  <c r="J8" i="1"/>
  <c r="M8" i="1" s="1"/>
  <c r="L8" i="1"/>
  <c r="J21" i="1"/>
  <c r="M21" i="1" s="1"/>
  <c r="L21" i="1"/>
  <c r="J40" i="1"/>
  <c r="M40" i="1" s="1"/>
  <c r="L40" i="1"/>
  <c r="J32" i="1"/>
  <c r="M32" i="1" s="1"/>
  <c r="L32" i="1"/>
  <c r="J24" i="1"/>
  <c r="M24" i="1" s="1"/>
  <c r="L24" i="1"/>
  <c r="J51" i="1"/>
  <c r="M51" i="1" s="1"/>
  <c r="L51" i="1"/>
</calcChain>
</file>

<file path=xl/sharedStrings.xml><?xml version="1.0" encoding="utf-8"?>
<sst xmlns="http://schemas.openxmlformats.org/spreadsheetml/2006/main" count="163" uniqueCount="93">
  <si>
    <t>MARK</t>
  </si>
  <si>
    <t>A</t>
  </si>
  <si>
    <t>B</t>
  </si>
  <si>
    <t>C</t>
  </si>
  <si>
    <t>D</t>
  </si>
  <si>
    <t>E</t>
  </si>
  <si>
    <t>(α)</t>
  </si>
  <si>
    <t>Volume</t>
  </si>
  <si>
    <t>AD</t>
  </si>
  <si>
    <t>UW- (Kg)</t>
  </si>
  <si>
    <t>Nos</t>
  </si>
  <si>
    <t>TOT V</t>
  </si>
  <si>
    <t>TOT KG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</si>
  <si>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</si>
  <si>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</si>
  <si>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</si>
  <si>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</si>
  <si>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</si>
  <si>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</si>
  <si>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</si>
  <si>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</si>
  <si>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</si>
  <si>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</si>
  <si>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</si>
  <si>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</si>
  <si>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</si>
  <si>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</si>
  <si>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</si>
  <si>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</si>
  <si>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</si>
  <si>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</si>
  <si>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</si>
  <si>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</si>
  <si>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</si>
  <si>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</si>
  <si>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</si>
  <si>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</si>
  <si>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</si>
  <si>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</si>
  <si>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</si>
  <si>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</si>
  <si>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</si>
  <si>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</si>
  <si>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</si>
  <si>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</si>
  <si>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</si>
  <si>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</si>
  <si>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</si>
  <si>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</si>
  <si>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</si>
  <si>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</si>
  <si>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</si>
  <si>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</si>
  <si>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</si>
  <si>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</si>
  <si>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</si>
  <si>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</si>
  <si>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</si>
  <si>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</si>
  <si>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</si>
  <si>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</si>
  <si>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</si>
  <si>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</si>
  <si>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</si>
  <si>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</si>
  <si>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</si>
  <si>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</si>
  <si>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</si>
  <si>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</si>
  <si>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67.8 Total</t>
  </si>
  <si>
    <t>74.6 Total</t>
  </si>
  <si>
    <t>82 Total</t>
  </si>
  <si>
    <t>93.6 Total</t>
  </si>
  <si>
    <t>164.8 Total</t>
  </si>
  <si>
    <t>201.6 Total</t>
  </si>
  <si>
    <t>E Total</t>
  </si>
  <si>
    <t>T Nos</t>
  </si>
  <si>
    <t>Thickness</t>
  </si>
  <si>
    <t>A(W1)</t>
  </si>
  <si>
    <t>B(W2)</t>
  </si>
  <si>
    <t>C(angle)</t>
  </si>
  <si>
    <t>D(length)</t>
  </si>
  <si>
    <t xml:space="preserve">SLAB CUTTING - </t>
  </si>
  <si>
    <t>Wd</t>
  </si>
  <si>
    <t>Shift</t>
  </si>
  <si>
    <r>
      <t>Table – 1 Manpower planning for Phase - I</t>
    </r>
    <r>
      <rPr>
        <sz val="8"/>
        <color theme="1"/>
        <rFont val="Calibri"/>
        <family val="2"/>
        <scheme val="minor"/>
      </rPr>
      <t> </t>
    </r>
  </si>
  <si>
    <t>Total Required from DE</t>
  </si>
  <si>
    <t>Operators         (ITI)</t>
  </si>
  <si>
    <t>Maintenance     (ITI)</t>
  </si>
  <si>
    <t>Helpers             (ITI)</t>
  </si>
  <si>
    <t>House keeping</t>
  </si>
  <si>
    <r>
      <t> </t>
    </r>
    <r>
      <rPr>
        <sz val="10"/>
        <color theme="1"/>
        <rFont val="Calibri"/>
        <family val="2"/>
        <scheme val="minor"/>
      </rPr>
      <t xml:space="preserve">This number must be referred and the same can increase based on the production requirement, </t>
    </r>
  </si>
  <si>
    <t>A,G,B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</si>
</sst>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Tahoma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165" fontId="0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3" fontId="0" fillId="0" borderId="0" xfId="1" applyFont="1" applyAlignment="1">
      <alignment horizontal="left"/>
    </xf>
    <xf numFmtId="0" fontId="3" fillId="0" borderId="0" xfId="0" applyFont="1" applyAlignment="1">
      <alignment vertical="center" wrapText="1"/>
    </xf>
    <xf numFmtId="0" fontId="4" fillId="0" borderId="4" xfId="0" applyFont="1" applyBorder="1" applyAlignment="1">
      <alignment horizontal="justify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0" fillId="3" borderId="1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146049</xdr:colOff>
      <xdr:row>37</xdr:row>
      <xdr:rowOff>146050</xdr:rowOff>
    </xdr:from>
    <xdr:to>
      <xdr:col>14</xdr:col>
      <xdr:colOff>1503</xdr:colOff>
      <xdr:row>57</xdr:row>
      <xdr:rowOff>19889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19E6AB-12F1-3360-DBF5-2689CB649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7849" y="7073900"/>
          <a:ext cx="3503529" cy="3679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146706</xdr:colOff>
      <xdr:row>1</xdr:row>
      <xdr:rowOff>68316</xdr:rowOff>
    </xdr:from>
    <xdr:to>
      <xdr:col>13</xdr:col>
      <xdr:colOff>3668657</xdr:colOff>
      <xdr:row>23</xdr:row>
      <xdr:rowOff>20351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5DF17A-D12D-6AD3-DA2E-78FEFAF3C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9223" y="366109"/>
          <a:ext cx="3521951" cy="399851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xena, H" refreshedDate="45217.490814699071" createdVersion="8" refreshedVersion="8" minRefreshableVersion="3" recordCount="57" xr:uid="{3A3359DC-C8E1-46FC-80FC-D784EDC93AFD}">
  <cacheSource type="worksheet">
    <worksheetSource ref="A1:M58" sheet="Sheet1"/>
  </cacheSource>
  <cacheFields count="13">
    <cacheField name="MARK" numFmtId="0">
      <sharedItems count="57">
        <s v="G14"/>
        <s v="G15"/>
        <s v="G16"/>
        <s v="G17"/>
        <s v="G18"/>
        <s v="G19"/>
        <s v="G20"/>
        <s v="G21"/>
        <s v="G22"/>
        <s v="G23"/>
        <s v="G24"/>
        <s v="G25"/>
        <s v="G26"/>
        <s v="G27"/>
        <s v="G28"/>
        <s v="G29"/>
        <s v="G30"/>
        <s v="G31"/>
        <s v="G32"/>
        <s v="G33"/>
        <s v="G34"/>
        <s v="G35"/>
        <s v="G36"/>
        <s v="G37"/>
        <s v="G38"/>
        <s v="G39"/>
        <s v="G40"/>
        <s v="G41"/>
        <s v="G42"/>
        <s v="G43"/>
        <s v="G44"/>
        <s v="G45"/>
        <s v="G46"/>
        <s v="G47"/>
        <s v="G48"/>
        <s v="G49"/>
        <s v="G50"/>
        <s v="G51"/>
        <s v="G52"/>
        <s v="G53"/>
        <s v="G54"/>
        <s v="G55"/>
        <s v="G56"/>
        <s v="MARK"/>
        <s v="G1"/>
        <s v="G2"/>
        <s v="G3"/>
        <s v="G4"/>
        <s v="G5"/>
        <s v="G6"/>
        <s v="G7"/>
        <s v="G8"/>
        <s v="G9"/>
        <s v="G10"/>
        <s v="G11"/>
        <s v="G12"/>
        <s v="G13"/>
      </sharedItems>
    </cacheField>
    <cacheField name="A(W1)" numFmtId="0">
      <sharedItems containsMixedTypes="1" containsNumber="1" minValue="592.4" maxValue="599.9" count="35">
        <n v="598.79999999999995"/>
        <n v="598.29999999999995"/>
        <n v="597.6"/>
        <n v="595.20000000000005"/>
        <n v="594.5"/>
        <n v="599"/>
        <n v="598.4"/>
        <n v="595.9"/>
        <n v="599.79999999999995"/>
        <n v="599.20000000000005"/>
        <n v="596.70000000000005"/>
        <n v="596"/>
        <n v="593.5"/>
        <n v="592.79999999999995"/>
        <n v="597.5"/>
        <n v="596.79999999999995"/>
        <n v="594.29999999999995"/>
        <n v="593.6"/>
        <n v="595"/>
        <n v="599.1"/>
        <n v="595.79999999999995"/>
        <n v="595.1"/>
        <n v="599.9"/>
        <n v="596.6"/>
        <n v="593.29999999999995"/>
        <n v="592.5"/>
        <n v="597.1"/>
        <n v="596.29999999999995"/>
        <n v="596.20000000000005"/>
        <n v="593.20000000000005"/>
        <n v="592.4"/>
        <s v="A"/>
        <n v="595.4"/>
        <n v="596.9"/>
        <n v="594"/>
      </sharedItems>
    </cacheField>
    <cacheField name="B(W2)" numFmtId="0">
      <sharedItems containsMixedTypes="1" containsNumber="1" minValue="537.5" maxValue="582.20000000000005"/>
    </cacheField>
    <cacheField name="C(angle)" numFmtId="0">
      <sharedItems containsMixedTypes="1" containsNumber="1" minValue="8.65" maxValue="28.95"/>
    </cacheField>
    <cacheField name="D(length)" numFmtId="0">
      <sharedItems containsMixedTypes="1" containsNumber="1" minValue="235.6" maxValue="764.4"/>
    </cacheField>
    <cacheField name="Thickness" numFmtId="0">
      <sharedItems containsMixedTypes="1" containsNumber="1" minValue="67.8" maxValue="201.6" count="7">
        <n v="67.8"/>
        <n v="93.6"/>
        <n v="82"/>
        <s v="E"/>
        <n v="164.8"/>
        <n v="74.599999999999994"/>
        <n v="201.6"/>
      </sharedItems>
    </cacheField>
    <cacheField name="(α)" numFmtId="0">
      <sharedItems containsMixedTypes="1" containsNumber="1" minValue="2.0939999999999999" maxValue="376"/>
    </cacheField>
    <cacheField name="Volume" numFmtId="0">
      <sharedItems containsMixedTypes="1" containsNumber="1" minValue="12.8729484" maxValue="81.759565440000003"/>
    </cacheField>
    <cacheField name="AD" numFmtId="0">
      <sharedItems containsMixedTypes="1" containsNumber="1" minValue="1.72" maxValue="1.72"/>
    </cacheField>
    <cacheField name="UW- (Kg)" numFmtId="0">
      <sharedItems containsMixedTypes="1" containsNumber="1" minValue="22.141471247999998" maxValue="140.62645255679999"/>
    </cacheField>
    <cacheField name="Nos" numFmtId="0">
      <sharedItems containsMixedTypes="1" containsNumber="1" containsInteger="1" minValue="77" maxValue="606"/>
    </cacheField>
    <cacheField name="TOT V" numFmtId="0">
      <sharedItems containsMixedTypes="1" containsNumber="1" minValue="997.49968718399998" maxValue="10639.158768629999"/>
    </cacheField>
    <cacheField name="TOT KG" numFmtId="0">
      <sharedItems containsMixedTypes="1" containsNumber="1" minValue="1715.69946195648" maxValue="18299.3530820435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n v="566.29999999999995"/>
    <n v="16.25"/>
    <n v="444.5"/>
    <x v="0"/>
    <n v="2.0939999999999999"/>
    <n v="17.556367604999998"/>
    <n v="1.72"/>
    <n v="30.196952280599998"/>
    <n v="606"/>
    <n v="10639.158768629999"/>
    <n v="18299.353082043599"/>
  </r>
  <r>
    <x v="1"/>
    <x v="0"/>
    <n v="581"/>
    <n v="8.9"/>
    <n v="242.5"/>
    <x v="1"/>
    <n v="2.1019999999999999"/>
    <n v="13.389550199999997"/>
    <n v="1.72"/>
    <n v="23.030026343999996"/>
    <n v="516"/>
    <n v="6909.0079031999985"/>
    <n v="11883.493593503998"/>
  </r>
  <r>
    <x v="2"/>
    <x v="1"/>
    <n v="581"/>
    <n v="8.65"/>
    <n v="235.7"/>
    <x v="1"/>
    <n v="2.1019999999999999"/>
    <n v="13.008575268"/>
    <n v="1.72"/>
    <n v="22.37474946096"/>
    <n v="86"/>
    <n v="1118.7374730479999"/>
    <n v="1924.22845364256"/>
  </r>
  <r>
    <x v="3"/>
    <x v="2"/>
    <n v="565.4"/>
    <n v="16.100000000000001"/>
    <n v="439.9"/>
    <x v="0"/>
    <n v="2.0960000000000001"/>
    <n v="17.343365429999995"/>
    <n v="1.72"/>
    <n v="29.83058853959999"/>
    <n v="86"/>
    <n v="1491.5294269799995"/>
    <n v="2565.430614405599"/>
  </r>
  <r>
    <x v="4"/>
    <x v="3"/>
    <n v="577.9"/>
    <n v="8.65"/>
    <n v="236.2"/>
    <x v="1"/>
    <n v="2.097"/>
    <n v="12.967635095999999"/>
    <n v="1.72"/>
    <n v="22.304332365119997"/>
    <n v="87"/>
    <n v="1128.1842533519998"/>
    <n v="1940.4769157654398"/>
  </r>
  <r>
    <x v="5"/>
    <x v="4"/>
    <n v="562.29999999999995"/>
    <n v="16.100000000000001"/>
    <n v="440"/>
    <x v="0"/>
    <n v="2.0960000000000001"/>
    <n v="17.254828799999999"/>
    <n v="1.72"/>
    <n v="29.678305535999996"/>
    <n v="87"/>
    <n v="1501.1701055999999"/>
    <n v="2582.0125816319996"/>
  </r>
  <r>
    <x v="6"/>
    <x v="5"/>
    <n v="581.6"/>
    <n v="8.6999999999999993"/>
    <n v="236.2"/>
    <x v="1"/>
    <n v="2.109"/>
    <n v="13.050541295999999"/>
    <n v="1.72"/>
    <n v="22.446931029119998"/>
    <n v="85"/>
    <n v="1109.2960101599999"/>
    <n v="1907.9891374751999"/>
  </r>
  <r>
    <x v="7"/>
    <x v="6"/>
    <n v="565.79999999999995"/>
    <n v="16.3"/>
    <n v="439.9"/>
    <x v="0"/>
    <n v="2.1219999999999999"/>
    <n v="17.361260561999995"/>
    <n v="1.72"/>
    <n v="29.861368166639991"/>
    <n v="85"/>
    <n v="1475.7071477699994"/>
    <n v="2538.2162941643992"/>
  </r>
  <r>
    <x v="8"/>
    <x v="7"/>
    <n v="578.5"/>
    <n v="8.6999999999999993"/>
    <n v="236.1"/>
    <x v="1"/>
    <n v="2.11"/>
    <n v="12.976509311999999"/>
    <n v="1.72"/>
    <n v="22.319596016639998"/>
    <n v="86"/>
    <n v="1115.9798008319999"/>
    <n v="1919.4852574310398"/>
  </r>
  <r>
    <x v="9"/>
    <x v="3"/>
    <n v="562.70000000000005"/>
    <n v="16.25"/>
    <n v="439.9"/>
    <x v="0"/>
    <n v="2.1160000000000001"/>
    <n v="17.267311119000002"/>
    <n v="1.72"/>
    <n v="29.699775124680002"/>
    <n v="86"/>
    <n v="1484.9887562340002"/>
    <n v="2554.1806607224803"/>
  </r>
  <r>
    <x v="10"/>
    <x v="8"/>
    <n v="582.20000000000005"/>
    <n v="8.8000000000000007"/>
    <n v="236"/>
    <x v="1"/>
    <n v="2.1349999999999998"/>
    <n v="13.054953599999999"/>
    <n v="1.72"/>
    <n v="22.454520191999997"/>
    <n v="84"/>
    <n v="1096.6161024"/>
    <n v="1886.1796961279997"/>
  </r>
  <r>
    <x v="11"/>
    <x v="9"/>
    <n v="566.20000000000005"/>
    <n v="16.5"/>
    <n v="439.8"/>
    <x v="0"/>
    <n v="2.149"/>
    <n v="17.375204988"/>
    <n v="1.72"/>
    <n v="29.885352579359999"/>
    <n v="84"/>
    <n v="1459.5172189919999"/>
    <n v="2510.3696166662398"/>
  </r>
  <r>
    <x v="12"/>
    <x v="10"/>
    <n v="579"/>
    <n v="8.85"/>
    <n v="236.1"/>
    <x v="1"/>
    <n v="2.1469999999999998"/>
    <n v="12.990873636"/>
    <n v="1.72"/>
    <n v="22.34430265392"/>
    <n v="85"/>
    <n v="1104.2242590599999"/>
    <n v="1899.2657255832"/>
  </r>
  <r>
    <x v="13"/>
    <x v="11"/>
    <n v="563.1"/>
    <n v="16.45"/>
    <n v="439.8"/>
    <x v="0"/>
    <n v="2.1419999999999999"/>
    <n v="17.281276901999998"/>
    <n v="1.72"/>
    <n v="29.723796271439998"/>
    <n v="85"/>
    <n v="1468.9085366699999"/>
    <n v="2526.5226830724"/>
  </r>
  <r>
    <x v="14"/>
    <x v="12"/>
    <n v="575.79999999999995"/>
    <n v="8.85"/>
    <n v="236"/>
    <x v="1"/>
    <n v="2.1480000000000001"/>
    <n v="12.914684639999999"/>
    <n v="1.72"/>
    <n v="22.213257580799997"/>
    <n v="84"/>
    <n v="1084.83350976"/>
    <n v="1865.9136367871997"/>
  </r>
  <r>
    <x v="15"/>
    <x v="13"/>
    <n v="559.9"/>
    <n v="16.45"/>
    <n v="439.9"/>
    <x v="0"/>
    <n v="2.1419999999999999"/>
    <n v="17.189765546999993"/>
    <n v="1.72"/>
    <n v="29.566396740839988"/>
    <n v="84"/>
    <n v="1443.9403059479994"/>
    <n v="2483.5773262305588"/>
  </r>
  <r>
    <x v="16"/>
    <x v="14"/>
    <n v="579.6"/>
    <n v="8.9499999999999993"/>
    <n v="235.9"/>
    <x v="1"/>
    <n v="2.173"/>
    <n v="12.995325251999999"/>
    <n v="1.72"/>
    <n v="22.351959433439998"/>
    <n v="84"/>
    <n v="1091.607321168"/>
    <n v="1877.5645924089597"/>
  </r>
  <r>
    <x v="17"/>
    <x v="15"/>
    <n v="563.5"/>
    <n v="16.649999999999999"/>
    <n v="439.8"/>
    <x v="0"/>
    <n v="2.1680000000000001"/>
    <n v="17.299167965999999"/>
    <n v="1.72"/>
    <n v="29.754568901519999"/>
    <n v="84"/>
    <n v="1453.130109144"/>
    <n v="2499.3837877276801"/>
  </r>
  <r>
    <x v="18"/>
    <x v="16"/>
    <n v="576.4"/>
    <n v="8.9499999999999993"/>
    <n v="236.1"/>
    <x v="1"/>
    <n v="2.1709999999999998"/>
    <n v="12.935626235999996"/>
    <n v="1.72"/>
    <n v="22.249277125919992"/>
    <n v="83"/>
    <n v="1073.6569775879996"/>
    <n v="1846.6900014513594"/>
  </r>
  <r>
    <x v="19"/>
    <x v="17"/>
    <n v="560.29999999999995"/>
    <n v="16.649999999999999"/>
    <n v="439.8"/>
    <x v="0"/>
    <n v="2.1680000000000001"/>
    <n v="17.203748958000002"/>
    <n v="1.72"/>
    <n v="29.590448207760002"/>
    <n v="83"/>
    <n v="1427.9111635140002"/>
    <n v="2456.0072012440801"/>
  </r>
  <r>
    <x v="20"/>
    <x v="1"/>
    <n v="580.20000000000005"/>
    <n v="9.0500000000000007"/>
    <n v="236"/>
    <x v="1"/>
    <n v="2.1960000000000002"/>
    <n v="13.016296799999999"/>
    <n v="1.72"/>
    <n v="22.388030495999999"/>
    <n v="83"/>
    <n v="1080.3526343999999"/>
    <n v="1858.2065311679999"/>
  </r>
  <r>
    <x v="21"/>
    <x v="2"/>
    <n v="563.79999999999995"/>
    <n v="16.899999999999999"/>
    <n v="439.7"/>
    <x v="0"/>
    <n v="2.2010000000000001"/>
    <n v="17.311630961999999"/>
    <n v="1.72"/>
    <n v="29.776005254639998"/>
    <n v="83"/>
    <n v="1436.8653698459998"/>
    <n v="2471.4084361351197"/>
  </r>
  <r>
    <x v="22"/>
    <x v="18"/>
    <n v="576.9"/>
    <n v="9.0500000000000007"/>
    <n v="235.9"/>
    <x v="1"/>
    <n v="2.1970000000000001"/>
    <n v="12.937916628"/>
    <n v="1.72"/>
    <n v="22.253216600159998"/>
    <n v="82"/>
    <n v="1060.909163496"/>
    <n v="1824.7637612131198"/>
  </r>
  <r>
    <x v="23"/>
    <x v="16"/>
    <n v="560.6"/>
    <n v="16.850000000000001"/>
    <n v="439.7"/>
    <x v="0"/>
    <n v="2.1949999999999998"/>
    <n v="17.214743067000001"/>
    <n v="1.72"/>
    <n v="29.609358075239999"/>
    <n v="82"/>
    <n v="1411.608931494"/>
    <n v="2427.9673621696797"/>
  </r>
  <r>
    <x v="24"/>
    <x v="19"/>
    <n v="580.79999999999995"/>
    <n v="9.15"/>
    <n v="235.9"/>
    <x v="1"/>
    <n v="2.2210000000000001"/>
    <n v="13.026237587999999"/>
    <n v="1.72"/>
    <n v="22.405128651359998"/>
    <n v="82"/>
    <n v="1068.151482216"/>
    <n v="1837.2205494115199"/>
  </r>
  <r>
    <x v="25"/>
    <x v="6"/>
    <n v="564.29999999999995"/>
    <n v="17.05"/>
    <n v="439.6"/>
    <x v="0"/>
    <n v="2.2210000000000001"/>
    <n v="17.327066987999999"/>
    <n v="1.72"/>
    <n v="29.802555219359999"/>
    <n v="82"/>
    <n v="1420.8194930159998"/>
    <n v="2443.8095279875197"/>
  </r>
  <r>
    <x v="26"/>
    <x v="20"/>
    <n v="577.5"/>
    <n v="9.15"/>
    <n v="235.9"/>
    <x v="1"/>
    <n v="2.2210000000000001"/>
    <n v="12.953372795999998"/>
    <n v="1.72"/>
    <n v="22.279801209119995"/>
    <n v="81"/>
    <n v="1049.2231964759999"/>
    <n v="1804.6638979387196"/>
  </r>
  <r>
    <x v="27"/>
    <x v="21"/>
    <n v="561"/>
    <n v="17.05"/>
    <n v="439.6"/>
    <x v="0"/>
    <n v="2.2210000000000001"/>
    <n v="17.228710883999998"/>
    <n v="1.72"/>
    <n v="29.633382720479997"/>
    <n v="81"/>
    <n v="1395.5255816039999"/>
    <n v="2400.3040003588799"/>
  </r>
  <r>
    <x v="28"/>
    <x v="22"/>
    <n v="581.4"/>
    <n v="9.25"/>
    <n v="235.7"/>
    <x v="1"/>
    <n v="2.2469999999999999"/>
    <n v="13.030636787999999"/>
    <n v="1.72"/>
    <n v="22.412695275359997"/>
    <n v="81"/>
    <n v="1055.4815798279999"/>
    <n v="1815.4283173041597"/>
  </r>
  <r>
    <x v="29"/>
    <x v="9"/>
    <n v="564.70000000000005"/>
    <n v="17.25"/>
    <n v="439.5"/>
    <x v="0"/>
    <n v="2.2480000000000002"/>
    <n v="17.341004294999998"/>
    <n v="1.72"/>
    <n v="29.826527387399995"/>
    <n v="81"/>
    <n v="1404.6213478949999"/>
    <n v="2415.9487183793995"/>
  </r>
  <r>
    <x v="30"/>
    <x v="23"/>
    <n v="578.1"/>
    <n v="9.25"/>
    <n v="235.8"/>
    <x v="1"/>
    <n v="2.246"/>
    <n v="12.963331368"/>
    <n v="1.72"/>
    <n v="22.296929952959999"/>
    <n v="80"/>
    <n v="1037.0665094400001"/>
    <n v="1783.7543962367999"/>
  </r>
  <r>
    <x v="31"/>
    <x v="7"/>
    <n v="561.29999999999995"/>
    <n v="17.3"/>
    <n v="439.5"/>
    <x v="0"/>
    <n v="2.254"/>
    <n v="17.241180659999998"/>
    <n v="1.72"/>
    <n v="29.654830735199997"/>
    <n v="80"/>
    <n v="1379.2944527999998"/>
    <n v="2372.386458816"/>
  </r>
  <r>
    <x v="32"/>
    <x v="24"/>
    <n v="574.70000000000005"/>
    <n v="9.3000000000000007"/>
    <n v="235.9"/>
    <x v="1"/>
    <n v="2.258"/>
    <n v="12.894860159999999"/>
    <n v="1.72"/>
    <n v="22.179159475199999"/>
    <n v="81"/>
    <n v="1044.4836729599999"/>
    <n v="1796.5119174911999"/>
  </r>
  <r>
    <x v="33"/>
    <x v="25"/>
    <n v="558"/>
    <n v="17.25"/>
    <n v="439.6"/>
    <x v="0"/>
    <n v="2.2469999999999999"/>
    <n v="17.145257219999998"/>
    <n v="1.72"/>
    <n v="29.489842418399995"/>
    <n v="79"/>
    <n v="1354.4753203799999"/>
    <n v="2329.6975510535995"/>
  </r>
  <r>
    <x v="34"/>
    <x v="26"/>
    <n v="578.4"/>
    <n v="9.35"/>
    <n v="235.7"/>
    <x v="1"/>
    <n v="2.2719999999999998"/>
    <n v="12.966658379999997"/>
    <n v="1.72"/>
    <n v="22.302652413599994"/>
    <n v="79"/>
    <n v="1024.3660120199997"/>
    <n v="1761.9095406743995"/>
  </r>
  <r>
    <x v="35"/>
    <x v="27"/>
    <n v="561.4"/>
    <n v="17.45"/>
    <n v="438.6"/>
    <x v="2"/>
    <n v="2.278"/>
    <n v="20.818456019999996"/>
    <n v="1.72"/>
    <n v="35.807744354399993"/>
    <n v="80"/>
    <n v="1665.4764815999997"/>
    <n v="2864.6195483519996"/>
  </r>
  <r>
    <x v="36"/>
    <x v="24"/>
    <n v="574.6"/>
    <n v="9.35"/>
    <n v="235.8"/>
    <x v="1"/>
    <n v="2.2709999999999999"/>
    <n v="12.888290376"/>
    <n v="1.72"/>
    <n v="22.167859446720001"/>
    <n v="80"/>
    <n v="1031.06323008"/>
    <n v="1773.4287557376001"/>
  </r>
  <r>
    <x v="37"/>
    <x v="25"/>
    <n v="557.6"/>
    <n v="17.45"/>
    <n v="438.5"/>
    <x v="2"/>
    <n v="2.2789999999999999"/>
    <n v="20.677072849999998"/>
    <n v="1.72"/>
    <n v="35.564565301999998"/>
    <n v="78"/>
    <n v="1612.8116822999998"/>
    <n v="2774.0360935559997"/>
  </r>
  <r>
    <x v="38"/>
    <x v="26"/>
    <n v="578.1"/>
    <n v="9.5"/>
    <n v="235.6"/>
    <x v="1"/>
    <n v="2.3090000000000002"/>
    <n v="12.957849216"/>
    <n v="1.72"/>
    <n v="22.287500651519998"/>
    <n v="78"/>
    <n v="1010.712238848"/>
    <n v="1738.4250508185598"/>
  </r>
  <r>
    <x v="39"/>
    <x v="28"/>
    <n v="560.9"/>
    <n v="17.649999999999999"/>
    <n v="438.4"/>
    <x v="2"/>
    <n v="2.3050000000000002"/>
    <n v="20.798178239999999"/>
    <n v="1.72"/>
    <n v="35.772866572799998"/>
    <n v="78"/>
    <n v="1622.2579027199999"/>
    <n v="2790.2835926784001"/>
  </r>
  <r>
    <x v="40"/>
    <x v="29"/>
    <n v="574.29999999999995"/>
    <n v="9.4499999999999993"/>
    <n v="235.6"/>
    <x v="1"/>
    <n v="2.2970000000000002"/>
    <n v="12.8729484"/>
    <n v="1.72"/>
    <n v="22.141471247999998"/>
    <n v="79"/>
    <n v="1016.9629236000001"/>
    <n v="1749.1762285919999"/>
  </r>
  <r>
    <x v="41"/>
    <x v="30"/>
    <n v="557"/>
    <n v="17.7"/>
    <n v="438.4"/>
    <x v="2"/>
    <n v="2.3119999999999998"/>
    <n v="20.659775360000001"/>
    <n v="1.72"/>
    <n v="35.534813619200001"/>
    <n v="79"/>
    <n v="1632.1222534400001"/>
    <n v="2807.2502759168001"/>
  </r>
  <r>
    <x v="42"/>
    <x v="26"/>
    <n v="577.79999999999995"/>
    <n v="9.65"/>
    <n v="235.6"/>
    <x v="1"/>
    <n v="2.3450000000000002"/>
    <n v="12.954541391999999"/>
    <n v="1.72"/>
    <n v="22.281811194239999"/>
    <n v="77"/>
    <n v="997.49968718399998"/>
    <n v="1715.69946195648"/>
  </r>
  <r>
    <x v="43"/>
    <x v="31"/>
    <s v="B"/>
    <s v="C"/>
    <s v="D"/>
    <x v="3"/>
    <s v="(α)"/>
    <s v="Volume"/>
    <s v="AD"/>
    <s v="UW- (Kg)"/>
    <s v="Nos"/>
    <s v="TOT V"/>
    <s v="TOT KG"/>
  </r>
  <r>
    <x v="44"/>
    <x v="32"/>
    <n v="537.5"/>
    <n v="28.95"/>
    <n v="764.4"/>
    <x v="4"/>
    <n v="376"/>
    <n v="71.35747382400001"/>
    <n v="1.72"/>
    <n v="122.73485497728002"/>
    <n v="83"/>
    <n v="5922.6703273920011"/>
    <n v="10186.992963114242"/>
  </r>
  <r>
    <x v="45"/>
    <x v="32"/>
    <n v="538"/>
    <n v="28.7"/>
    <n v="757.9"/>
    <x v="5"/>
    <n v="373"/>
    <n v="32.040843977999998"/>
    <n v="1.72"/>
    <n v="55.110251642159994"/>
    <n v="84"/>
    <n v="2691.4308941519998"/>
    <n v="4629.2611379414393"/>
  </r>
  <r>
    <x v="46"/>
    <x v="32"/>
    <n v="541.4"/>
    <n v="27"/>
    <n v="713.5"/>
    <x v="6"/>
    <n v="351"/>
    <n v="81.759565440000003"/>
    <n v="1.72"/>
    <n v="140.62645255679999"/>
    <n v="83"/>
    <n v="6786.0439315200001"/>
    <n v="11671.995562214399"/>
  </r>
  <r>
    <x v="47"/>
    <x v="32"/>
    <n v="545.5"/>
    <n v="24.95"/>
    <n v="658.6"/>
    <x v="6"/>
    <n v="324"/>
    <n v="75.740791392000006"/>
    <n v="1.72"/>
    <n v="130.27416119424001"/>
    <n v="84"/>
    <n v="6362.2264769280009"/>
    <n v="10943.02954031616"/>
  </r>
  <r>
    <x v="48"/>
    <x v="32"/>
    <n v="549.70000000000005"/>
    <n v="22.85"/>
    <n v="603.70000000000005"/>
    <x v="6"/>
    <n v="298"/>
    <n v="69.682724495999992"/>
    <n v="1.72"/>
    <n v="119.85428613311998"/>
    <n v="83"/>
    <n v="5783.6661331679989"/>
    <n v="9947.9057490489595"/>
  </r>
  <r>
    <x v="49"/>
    <x v="32"/>
    <n v="553.9"/>
    <n v="20.75"/>
    <n v="548.70000000000005"/>
    <x v="6"/>
    <n v="271"/>
    <n v="63.566587728000002"/>
    <n v="1.72"/>
    <n v="109.33453089216"/>
    <n v="84"/>
    <n v="5339.5933691520004"/>
    <n v="9184.1005949414412"/>
  </r>
  <r>
    <x v="50"/>
    <x v="32"/>
    <n v="558"/>
    <n v="18.7"/>
    <n v="493.8"/>
    <x v="6"/>
    <n v="244"/>
    <n v="57.410531136000003"/>
    <n v="1.72"/>
    <n v="98.746113553919997"/>
    <n v="83"/>
    <n v="4765.0740842880004"/>
    <n v="8195.9274249753598"/>
  </r>
  <r>
    <x v="51"/>
    <x v="32"/>
    <n v="562.20000000000005"/>
    <n v="16.600000000000001"/>
    <n v="438.9"/>
    <x v="6"/>
    <n v="217"/>
    <n v="51.213520511999995"/>
    <n v="1.72"/>
    <n v="88.087255280639994"/>
    <n v="84"/>
    <n v="4301.9357230079995"/>
    <n v="7399.3294435737598"/>
  </r>
  <r>
    <x v="52"/>
    <x v="0"/>
    <n v="566.4"/>
    <n v="16.2"/>
    <n v="428.6"/>
    <x v="6"/>
    <n v="212"/>
    <n v="50.339995775999995"/>
    <n v="1.72"/>
    <n v="86.584792734719997"/>
    <n v="83"/>
    <n v="4178.2196494079999"/>
    <n v="7186.53779698176"/>
  </r>
  <r>
    <x v="53"/>
    <x v="20"/>
    <n v="563.70000000000005"/>
    <n v="16.05"/>
    <n v="428.7"/>
    <x v="6"/>
    <n v="212"/>
    <n v="50.105427119999995"/>
    <n v="1.72"/>
    <n v="86.181334646399989"/>
    <n v="85"/>
    <n v="4258.9613051999995"/>
    <n v="7325.4134449439989"/>
  </r>
  <r>
    <x v="54"/>
    <x v="22"/>
    <n v="567.79999999999995"/>
    <n v="16.05"/>
    <n v="428.7"/>
    <x v="6"/>
    <n v="212"/>
    <n v="50.459773391999988"/>
    <n v="1.72"/>
    <n v="86.790810234239984"/>
    <n v="84"/>
    <n v="4238.620964927999"/>
    <n v="7290.4280596761582"/>
  </r>
  <r>
    <x v="55"/>
    <x v="33"/>
    <n v="565.20000000000005"/>
    <n v="15.85"/>
    <n v="428.8"/>
    <x v="6"/>
    <n v="212"/>
    <n v="50.229494784000003"/>
    <n v="1.72"/>
    <n v="86.39473102848001"/>
    <n v="86"/>
    <n v="4319.736551424"/>
    <n v="7429.9468684492804"/>
  </r>
  <r>
    <x v="56"/>
    <x v="34"/>
    <n v="562.6"/>
    <n v="15.7"/>
    <n v="428.9"/>
    <x v="6"/>
    <n v="213"/>
    <n v="50.00342659199999"/>
    <n v="1.72"/>
    <n v="86.005893738239976"/>
    <n v="86"/>
    <n v="4300.2946869119987"/>
    <n v="7396.50686148863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94BB8-BE46-4D00-B5A9-5B7B6FA48948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67" firstHeaderRow="1" firstDataRow="1" firstDataCol="2"/>
  <pivotFields count="13">
    <pivotField axis="axisRow" compact="0" outline="0" showAll="0">
      <items count="58">
        <item x="44"/>
        <item x="53"/>
        <item x="54"/>
        <item x="55"/>
        <item x="56"/>
        <item x="0"/>
        <item x="1"/>
        <item x="2"/>
        <item x="3"/>
        <item x="4"/>
        <item x="5"/>
        <item x="45"/>
        <item x="6"/>
        <item x="7"/>
        <item x="8"/>
        <item x="9"/>
        <item x="10"/>
        <item x="11"/>
        <item x="12"/>
        <item x="13"/>
        <item x="14"/>
        <item x="15"/>
        <item x="46"/>
        <item x="16"/>
        <item x="17"/>
        <item x="18"/>
        <item x="19"/>
        <item x="20"/>
        <item x="21"/>
        <item x="22"/>
        <item x="23"/>
        <item x="24"/>
        <item x="25"/>
        <item x="47"/>
        <item x="26"/>
        <item x="27"/>
        <item x="28"/>
        <item x="29"/>
        <item x="30"/>
        <item x="31"/>
        <item x="32"/>
        <item x="33"/>
        <item x="34"/>
        <item x="35"/>
        <item x="48"/>
        <item x="36"/>
        <item x="37"/>
        <item x="38"/>
        <item x="39"/>
        <item x="40"/>
        <item x="41"/>
        <item x="42"/>
        <item x="49"/>
        <item x="50"/>
        <item x="51"/>
        <item x="52"/>
        <item x="43"/>
        <item t="default"/>
      </items>
    </pivotField>
    <pivotField compact="0" outline="0" showAll="0">
      <items count="36">
        <item x="30"/>
        <item x="25"/>
        <item x="13"/>
        <item x="29"/>
        <item x="24"/>
        <item x="12"/>
        <item x="17"/>
        <item x="34"/>
        <item x="16"/>
        <item x="4"/>
        <item x="18"/>
        <item x="21"/>
        <item x="3"/>
        <item x="32"/>
        <item x="20"/>
        <item x="7"/>
        <item x="11"/>
        <item x="28"/>
        <item x="27"/>
        <item x="23"/>
        <item x="10"/>
        <item x="15"/>
        <item x="33"/>
        <item x="26"/>
        <item x="14"/>
        <item x="2"/>
        <item x="1"/>
        <item x="6"/>
        <item x="0"/>
        <item x="5"/>
        <item x="19"/>
        <item x="9"/>
        <item x="8"/>
        <item x="22"/>
        <item x="3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5"/>
        <item x="2"/>
        <item x="1"/>
        <item x="4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5"/>
    <field x="0"/>
  </rowFields>
  <rowItems count="64">
    <i>
      <x/>
      <x v="5"/>
    </i>
    <i r="1">
      <x v="8"/>
    </i>
    <i r="1">
      <x v="10"/>
    </i>
    <i r="1">
      <x v="13"/>
    </i>
    <i r="1">
      <x v="15"/>
    </i>
    <i r="1">
      <x v="17"/>
    </i>
    <i r="1">
      <x v="19"/>
    </i>
    <i r="1">
      <x v="21"/>
    </i>
    <i r="1">
      <x v="24"/>
    </i>
    <i r="1">
      <x v="26"/>
    </i>
    <i r="1">
      <x v="28"/>
    </i>
    <i r="1">
      <x v="30"/>
    </i>
    <i r="1">
      <x v="32"/>
    </i>
    <i r="1">
      <x v="35"/>
    </i>
    <i r="1">
      <x v="37"/>
    </i>
    <i r="1">
      <x v="39"/>
    </i>
    <i r="1">
      <x v="41"/>
    </i>
    <i t="default">
      <x/>
    </i>
    <i>
      <x v="1"/>
      <x v="11"/>
    </i>
    <i t="default">
      <x v="1"/>
    </i>
    <i>
      <x v="2"/>
      <x v="43"/>
    </i>
    <i r="1">
      <x v="46"/>
    </i>
    <i r="1">
      <x v="48"/>
    </i>
    <i r="1">
      <x v="50"/>
    </i>
    <i t="default">
      <x v="2"/>
    </i>
    <i>
      <x v="3"/>
      <x v="6"/>
    </i>
    <i r="1">
      <x v="7"/>
    </i>
    <i r="1">
      <x v="9"/>
    </i>
    <i r="1">
      <x v="12"/>
    </i>
    <i r="1">
      <x v="14"/>
    </i>
    <i r="1">
      <x v="16"/>
    </i>
    <i r="1">
      <x v="18"/>
    </i>
    <i r="1">
      <x v="20"/>
    </i>
    <i r="1">
      <x v="23"/>
    </i>
    <i r="1">
      <x v="25"/>
    </i>
    <i r="1">
      <x v="27"/>
    </i>
    <i r="1">
      <x v="29"/>
    </i>
    <i r="1">
      <x v="31"/>
    </i>
    <i r="1">
      <x v="34"/>
    </i>
    <i r="1">
      <x v="36"/>
    </i>
    <i r="1">
      <x v="38"/>
    </i>
    <i r="1">
      <x v="40"/>
    </i>
    <i r="1">
      <x v="42"/>
    </i>
    <i r="1">
      <x v="45"/>
    </i>
    <i r="1">
      <x v="47"/>
    </i>
    <i r="1">
      <x v="49"/>
    </i>
    <i r="1">
      <x v="51"/>
    </i>
    <i t="default">
      <x v="3"/>
    </i>
    <i>
      <x v="4"/>
      <x/>
    </i>
    <i t="default">
      <x v="4"/>
    </i>
    <i>
      <x v="5"/>
      <x v="1"/>
    </i>
    <i r="1">
      <x v="2"/>
    </i>
    <i r="1">
      <x v="3"/>
    </i>
    <i r="1">
      <x v="4"/>
    </i>
    <i r="1">
      <x v="22"/>
    </i>
    <i r="1">
      <x v="33"/>
    </i>
    <i r="1">
      <x v="44"/>
    </i>
    <i r="1">
      <x v="52"/>
    </i>
    <i r="1">
      <x v="53"/>
    </i>
    <i r="1">
      <x v="54"/>
    </i>
    <i r="1">
      <x v="55"/>
    </i>
    <i t="default">
      <x v="5"/>
    </i>
    <i>
      <x v="6"/>
      <x v="56"/>
    </i>
    <i t="default">
      <x v="6"/>
    </i>
  </rowItems>
  <colItems count="1">
    <i/>
  </colItems>
  <dataFields count="1">
    <dataField name="T Nos" fld="10" baseField="4" baseItem="1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DEE8-44F8-4888-B160-53AD9B09C2AB}">
  <dimension ref="A3:I67"/>
  <sheetViews>
    <sheetView workbookViewId="0">
      <selection activeCell="H19" sqref="H19"/>
    </sheetView>
  </sheetViews>
  <sheetFormatPr defaultRowHeight="14.5" x14ac:dyDescent="0.35"/>
  <cols>
    <col min="1" max="1" width="11.1796875" bestFit="1" customWidth="1"/>
    <col min="2" max="2" width="8.1796875" bestFit="1" customWidth="1"/>
    <col min="3" max="4" width="5.453125" bestFit="1" customWidth="1"/>
    <col min="5" max="5" width="5.81640625" bestFit="1" customWidth="1"/>
    <col min="6" max="6" width="3.81640625" bestFit="1" customWidth="1"/>
    <col min="7" max="7" width="5.81640625" style="9" bestFit="1" customWidth="1"/>
    <col min="8" max="8" width="14.36328125" bestFit="1" customWidth="1"/>
    <col min="9" max="22" width="5.81640625" bestFit="1" customWidth="1"/>
    <col min="23" max="23" width="3.81640625" bestFit="1" customWidth="1"/>
    <col min="24" max="31" width="5.81640625" bestFit="1" customWidth="1"/>
    <col min="32" max="32" width="2.08984375" bestFit="1" customWidth="1"/>
    <col min="33" max="33" width="10.7265625" bestFit="1" customWidth="1"/>
  </cols>
  <sheetData>
    <row r="3" spans="1:7" x14ac:dyDescent="0.35">
      <c r="A3" s="8" t="s">
        <v>77</v>
      </c>
      <c r="B3" s="8" t="s">
        <v>0</v>
      </c>
      <c r="C3" t="s">
        <v>76</v>
      </c>
    </row>
    <row r="4" spans="1:7" x14ac:dyDescent="0.35">
      <c r="A4">
        <v>67.8</v>
      </c>
      <c r="B4" t="s">
        <v>13</v>
      </c>
      <c r="C4">
        <v>606</v>
      </c>
    </row>
    <row r="5" spans="1:7" s="1" customFormat="1" ht="22" customHeight="1" x14ac:dyDescent="0.35">
      <c r="A5"/>
      <c r="B5" t="s">
        <v>16</v>
      </c>
      <c r="C5">
        <v>86</v>
      </c>
      <c r="D5"/>
      <c r="G5" s="10"/>
    </row>
    <row r="6" spans="1:7" s="1" customFormat="1" ht="22" customHeight="1" x14ac:dyDescent="0.35">
      <c r="A6"/>
      <c r="B6" t="s">
        <v>18</v>
      </c>
      <c r="C6">
        <v>87</v>
      </c>
      <c r="D6"/>
      <c r="G6" s="10"/>
    </row>
    <row r="7" spans="1:7" s="1" customFormat="1" ht="22" customHeight="1" x14ac:dyDescent="0.35">
      <c r="A7"/>
      <c r="B7" t="s">
        <v>20</v>
      </c>
      <c r="C7">
        <v>85</v>
      </c>
      <c r="D7"/>
      <c r="G7" s="10"/>
    </row>
    <row r="8" spans="1:7" s="1" customFormat="1" ht="22" customHeight="1" x14ac:dyDescent="0.35">
      <c r="A8"/>
      <c r="B8" t="s">
        <v>22</v>
      </c>
      <c r="C8">
        <v>86</v>
      </c>
      <c r="D8"/>
      <c r="G8" s="10"/>
    </row>
    <row r="9" spans="1:7" s="1" customFormat="1" ht="22" customHeight="1" x14ac:dyDescent="0.35">
      <c r="A9"/>
      <c r="B9" t="s">
        <v>24</v>
      </c>
      <c r="C9">
        <v>84</v>
      </c>
      <c r="D9"/>
      <c r="G9" s="10"/>
    </row>
    <row r="10" spans="1:7" s="1" customFormat="1" ht="22" customHeight="1" x14ac:dyDescent="0.35">
      <c r="A10"/>
      <c r="B10" t="s">
        <v>26</v>
      </c>
      <c r="C10">
        <v>85</v>
      </c>
      <c r="D10"/>
      <c r="G10" s="10"/>
    </row>
    <row r="11" spans="1:7" s="1" customFormat="1" ht="22" customHeight="1" x14ac:dyDescent="0.35">
      <c r="A11"/>
      <c r="B11" t="s">
        <v>28</v>
      </c>
      <c r="C11">
        <v>84</v>
      </c>
      <c r="D11"/>
      <c r="G11" s="10"/>
    </row>
    <row r="12" spans="1:7" s="1" customFormat="1" ht="22" customHeight="1" x14ac:dyDescent="0.35">
      <c r="A12"/>
      <c r="B12" t="s">
        <v>30</v>
      </c>
      <c r="C12">
        <v>84</v>
      </c>
      <c r="D12"/>
      <c r="G12" s="10"/>
    </row>
    <row r="13" spans="1:7" s="1" customFormat="1" ht="22" customHeight="1" x14ac:dyDescent="0.35">
      <c r="A13"/>
      <c r="B13" t="s">
        <v>32</v>
      </c>
      <c r="C13">
        <v>83</v>
      </c>
      <c r="D13"/>
      <c r="G13" s="10"/>
    </row>
    <row r="14" spans="1:7" s="1" customFormat="1" ht="22" customHeight="1" x14ac:dyDescent="0.35">
      <c r="A14"/>
      <c r="B14" t="s">
        <v>34</v>
      </c>
      <c r="C14">
        <v>83</v>
      </c>
      <c r="D14"/>
      <c r="G14" s="10"/>
    </row>
    <row r="15" spans="1:7" x14ac:dyDescent="0.35">
      <c r="B15" t="s">
        <v>36</v>
      </c>
      <c r="C15">
        <v>82</v>
      </c>
    </row>
    <row r="16" spans="1:7" x14ac:dyDescent="0.35">
      <c r="B16" t="s">
        <v>38</v>
      </c>
      <c r="C16">
        <v>82</v>
      </c>
    </row>
    <row r="17" spans="1:3" x14ac:dyDescent="0.35">
      <c r="B17" t="s">
        <v>40</v>
      </c>
      <c r="C17">
        <v>81</v>
      </c>
    </row>
    <row r="18" spans="1:3" x14ac:dyDescent="0.35">
      <c r="B18" t="s">
        <v>42</v>
      </c>
      <c r="C18">
        <v>81</v>
      </c>
    </row>
    <row r="19" spans="1:3" x14ac:dyDescent="0.35">
      <c r="B19" t="s">
        <v>44</v>
      </c>
      <c r="C19">
        <v>80</v>
      </c>
    </row>
    <row r="20" spans="1:3" x14ac:dyDescent="0.35">
      <c r="B20" t="s">
        <v>46</v>
      </c>
      <c r="C20">
        <v>79</v>
      </c>
    </row>
    <row r="21" spans="1:3" x14ac:dyDescent="0.35">
      <c r="A21" t="s">
        <v>69</v>
      </c>
      <c r="C21">
        <v>1938</v>
      </c>
    </row>
    <row r="22" spans="1:3" x14ac:dyDescent="0.35">
      <c r="A22">
        <v>74.599999999999994</v>
      </c>
      <c r="B22" t="s">
        <v>57</v>
      </c>
      <c r="C22">
        <v>84</v>
      </c>
    </row>
    <row r="23" spans="1:3" x14ac:dyDescent="0.35">
      <c r="A23" t="s">
        <v>70</v>
      </c>
      <c r="C23">
        <v>84</v>
      </c>
    </row>
    <row r="24" spans="1:3" x14ac:dyDescent="0.35">
      <c r="A24">
        <v>82</v>
      </c>
      <c r="B24" t="s">
        <v>48</v>
      </c>
      <c r="C24">
        <v>80</v>
      </c>
    </row>
    <row r="25" spans="1:3" x14ac:dyDescent="0.35">
      <c r="B25" t="s">
        <v>50</v>
      </c>
      <c r="C25">
        <v>78</v>
      </c>
    </row>
    <row r="26" spans="1:3" x14ac:dyDescent="0.35">
      <c r="B26" t="s">
        <v>52</v>
      </c>
      <c r="C26">
        <v>78</v>
      </c>
    </row>
    <row r="27" spans="1:3" x14ac:dyDescent="0.35">
      <c r="B27" t="s">
        <v>54</v>
      </c>
      <c r="C27">
        <v>79</v>
      </c>
    </row>
    <row r="28" spans="1:3" x14ac:dyDescent="0.35">
      <c r="A28" t="s">
        <v>71</v>
      </c>
      <c r="C28">
        <v>315</v>
      </c>
    </row>
    <row r="29" spans="1:3" x14ac:dyDescent="0.35">
      <c r="A29">
        <v>93.6</v>
      </c>
      <c r="B29" t="s">
        <v>14</v>
      </c>
      <c r="C29">
        <v>516</v>
      </c>
    </row>
    <row r="30" spans="1:3" x14ac:dyDescent="0.35">
      <c r="B30" t="s">
        <v>15</v>
      </c>
      <c r="C30">
        <v>86</v>
      </c>
    </row>
    <row r="31" spans="1:3" x14ac:dyDescent="0.35">
      <c r="B31" t="s">
        <v>17</v>
      </c>
      <c r="C31">
        <v>87</v>
      </c>
    </row>
    <row r="32" spans="1:3" x14ac:dyDescent="0.35">
      <c r="B32" t="s">
        <v>19</v>
      </c>
      <c r="C32">
        <v>85</v>
      </c>
    </row>
    <row r="33" spans="2:8" x14ac:dyDescent="0.35">
      <c r="B33" t="s">
        <v>21</v>
      </c>
      <c r="C33">
        <v>86</v>
      </c>
    </row>
    <row r="34" spans="2:8" x14ac:dyDescent="0.35">
      <c r="B34" t="s">
        <v>23</v>
      </c>
      <c r="C34">
        <v>84</v>
      </c>
    </row>
    <row r="35" spans="2:8" x14ac:dyDescent="0.35">
      <c r="B35" t="s">
        <v>25</v>
      </c>
      <c r="C35">
        <v>85</v>
      </c>
    </row>
    <row r="36" spans="2:8" x14ac:dyDescent="0.35">
      <c r="B36" t="s">
        <v>27</v>
      </c>
      <c r="C36">
        <v>84</v>
      </c>
    </row>
    <row r="37" spans="2:8" x14ac:dyDescent="0.35">
      <c r="B37" t="s">
        <v>29</v>
      </c>
      <c r="C37">
        <v>84</v>
      </c>
    </row>
    <row r="38" spans="2:8" x14ac:dyDescent="0.35">
      <c r="B38" t="s">
        <v>31</v>
      </c>
      <c r="C38">
        <v>83</v>
      </c>
    </row>
    <row r="39" spans="2:8" x14ac:dyDescent="0.35">
      <c r="B39" t="s">
        <v>33</v>
      </c>
      <c r="C39">
        <v>83</v>
      </c>
    </row>
    <row r="40" spans="2:8" x14ac:dyDescent="0.35">
      <c r="B40" t="s">
        <v>35</v>
      </c>
      <c r="C40">
        <v>82</v>
      </c>
    </row>
    <row r="41" spans="2:8" x14ac:dyDescent="0.35">
      <c r="B41" t="s">
        <v>37</v>
      </c>
      <c r="C41">
        <v>82</v>
      </c>
    </row>
    <row r="42" spans="2:8" x14ac:dyDescent="0.35">
      <c r="B42" t="s">
        <v>39</v>
      </c>
      <c r="C42">
        <v>81</v>
      </c>
    </row>
    <row r="43" spans="2:8" x14ac:dyDescent="0.35">
      <c r="B43" t="s">
        <v>41</v>
      </c>
      <c r="C43">
        <v>81</v>
      </c>
    </row>
    <row r="44" spans="2:8" x14ac:dyDescent="0.35">
      <c r="B44" t="s">
        <v>43</v>
      </c>
      <c r="C44">
        <v>80</v>
      </c>
    </row>
    <row r="45" spans="2:8" x14ac:dyDescent="0.35">
      <c r="B45" t="s">
        <v>45</v>
      </c>
      <c r="C45">
        <v>81</v>
      </c>
    </row>
    <row r="46" spans="2:8" x14ac:dyDescent="0.35">
      <c r="B46" t="s">
        <v>47</v>
      </c>
      <c r="C46">
        <v>79</v>
      </c>
    </row>
    <row r="47" spans="2:8" x14ac:dyDescent="0.35">
      <c r="B47" t="s">
        <v>49</v>
      </c>
      <c r="C47">
        <v>80</v>
      </c>
      <c r="G47" s="9" t="s">
        <v>83</v>
      </c>
      <c r="H47" t="s">
        <v>82</v>
      </c>
    </row>
    <row r="48" spans="2:8" x14ac:dyDescent="0.35">
      <c r="B48" t="s">
        <v>51</v>
      </c>
      <c r="C48">
        <v>78</v>
      </c>
      <c r="G48" s="9">
        <v>202</v>
      </c>
      <c r="H48" s="11">
        <v>3</v>
      </c>
    </row>
    <row r="49" spans="1:9" x14ac:dyDescent="0.35">
      <c r="B49" t="s">
        <v>53</v>
      </c>
      <c r="C49">
        <v>79</v>
      </c>
      <c r="G49" s="9">
        <v>165.2</v>
      </c>
      <c r="H49" s="11">
        <f>0.96*202/G49</f>
        <v>1.1738498789346248</v>
      </c>
      <c r="I49">
        <v>1</v>
      </c>
    </row>
    <row r="50" spans="1:9" x14ac:dyDescent="0.35">
      <c r="B50" t="s">
        <v>55</v>
      </c>
      <c r="C50">
        <v>77</v>
      </c>
      <c r="G50" s="9">
        <v>94</v>
      </c>
      <c r="H50" s="11">
        <f>G49*0.826/G50</f>
        <v>1.451651063829787</v>
      </c>
      <c r="I50">
        <v>1</v>
      </c>
    </row>
    <row r="51" spans="1:9" x14ac:dyDescent="0.35">
      <c r="A51" t="s">
        <v>72</v>
      </c>
      <c r="C51">
        <v>2243</v>
      </c>
      <c r="G51" s="9">
        <v>82.4</v>
      </c>
      <c r="H51" s="11">
        <f>0.452*94</f>
        <v>42.488</v>
      </c>
    </row>
    <row r="52" spans="1:9" x14ac:dyDescent="0.35">
      <c r="A52">
        <v>164.8</v>
      </c>
      <c r="B52" t="s">
        <v>56</v>
      </c>
      <c r="C52">
        <v>83</v>
      </c>
    </row>
    <row r="53" spans="1:9" x14ac:dyDescent="0.35">
      <c r="A53" t="s">
        <v>73</v>
      </c>
      <c r="C53">
        <v>83</v>
      </c>
    </row>
    <row r="54" spans="1:9" x14ac:dyDescent="0.35">
      <c r="A54">
        <v>201.6</v>
      </c>
      <c r="B54" t="s">
        <v>65</v>
      </c>
      <c r="C54">
        <v>85</v>
      </c>
    </row>
    <row r="55" spans="1:9" x14ac:dyDescent="0.35">
      <c r="B55" t="s">
        <v>66</v>
      </c>
      <c r="C55">
        <v>84</v>
      </c>
    </row>
    <row r="56" spans="1:9" x14ac:dyDescent="0.35">
      <c r="B56" t="s">
        <v>67</v>
      </c>
      <c r="C56">
        <v>86</v>
      </c>
    </row>
    <row r="57" spans="1:9" x14ac:dyDescent="0.35">
      <c r="B57" t="s">
        <v>68</v>
      </c>
      <c r="C57">
        <v>86</v>
      </c>
    </row>
    <row r="58" spans="1:9" x14ac:dyDescent="0.35">
      <c r="B58" t="s">
        <v>58</v>
      </c>
      <c r="C58">
        <v>83</v>
      </c>
    </row>
    <row r="59" spans="1:9" x14ac:dyDescent="0.35">
      <c r="B59" t="s">
        <v>59</v>
      </c>
      <c r="C59">
        <v>84</v>
      </c>
    </row>
    <row r="60" spans="1:9" x14ac:dyDescent="0.35">
      <c r="B60" t="s">
        <v>60</v>
      </c>
      <c r="C60">
        <v>83</v>
      </c>
    </row>
    <row r="61" spans="1:9" x14ac:dyDescent="0.35">
      <c r="B61" t="s">
        <v>61</v>
      </c>
      <c r="C61">
        <v>84</v>
      </c>
    </row>
    <row r="62" spans="1:9" x14ac:dyDescent="0.35">
      <c r="B62" t="s">
        <v>62</v>
      </c>
      <c r="C62">
        <v>83</v>
      </c>
    </row>
    <row r="63" spans="1:9" x14ac:dyDescent="0.35">
      <c r="B63" t="s">
        <v>63</v>
      </c>
      <c r="C63">
        <v>84</v>
      </c>
    </row>
    <row r="64" spans="1:9" x14ac:dyDescent="0.35">
      <c r="B64" t="s">
        <v>64</v>
      </c>
      <c r="C64">
        <v>83</v>
      </c>
    </row>
    <row r="65" spans="1:3" x14ac:dyDescent="0.35">
      <c r="A65" t="s">
        <v>74</v>
      </c>
      <c r="C65">
        <v>925</v>
      </c>
    </row>
    <row r="66" spans="1:3" x14ac:dyDescent="0.35">
      <c r="A66" t="s">
        <v>5</v>
      </c>
      <c r="B66" t="s">
        <v>0</v>
      </c>
      <c r="C66">
        <v>0</v>
      </c>
    </row>
    <row r="67" spans="1:3" x14ac:dyDescent="0.35">
      <c r="A67" t="s">
        <v>75</v>
      </c>
      <c r="C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BDF2-97EF-48AE-B9A4-6B6CB8A50B3D}">
  <sheetPr>
    <pageSetUpPr fitToPage="1"/>
  </sheetPr>
  <dimension ref="A1:M64"/>
  <sheetViews>
    <sheetView showGridLines="0" tabSelected="1" zoomScale="145" zoomScaleNormal="145" workbookViewId="0">
      <pane ySplit="1" topLeftCell="A2" activePane="bottomLeft" state="frozen"/>
      <selection pane="bottomLeft" activeCell="B50" sqref="B50"/>
    </sheetView>
  </sheetViews>
  <sheetFormatPr defaultColWidth="8.7265625" defaultRowHeight="23.5" customHeight="1" x14ac:dyDescent="0.35"/>
  <cols>
    <col min="1" max="1" width="6.1796875" style="1" customWidth="1"/>
    <col min="2" max="3" width="5.453125" style="1" bestFit="1" customWidth="1"/>
    <col min="4" max="4" width="5.36328125" style="1" bestFit="1" customWidth="1"/>
    <col min="5" max="7" width="5.453125" style="1" bestFit="1" customWidth="1"/>
    <col min="8" max="8" width="7.26953125" style="1" hidden="1" customWidth="1"/>
    <col min="9" max="9" width="4.1796875" style="1" hidden="1" customWidth="1"/>
    <col min="10" max="10" width="6.81640625" style="1" hidden="1" customWidth="1"/>
    <col min="11" max="11" width="6.81640625" style="1" customWidth="1"/>
    <col min="12" max="13" width="6.81640625" style="1" hidden="1" customWidth="1"/>
    <col min="14" max="14" width="53.453125" style="1" customWidth="1"/>
    <col min="15" max="16384" width="8.7265625" style="1"/>
  </cols>
  <sheetData>
    <row r="1" spans="1:13" s="12" customFormat="1" ht="23.5" customHeight="1" x14ac:dyDescent="0.35">
      <c r="A1" s="4" t="s">
        <v>0</v>
      </c>
      <c r="B1" s="4" t="s">
        <v>78</v>
      </c>
      <c r="C1" s="4" t="s">
        <v>79</v>
      </c>
      <c r="D1" s="4" t="s">
        <v>80</v>
      </c>
      <c r="E1" s="4" t="s">
        <v>81</v>
      </c>
      <c r="F1" s="4" t="s">
        <v>77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14.5" x14ac:dyDescent="0.35">
      <c r="A2" s="2" t="s">
        <v>13</v>
      </c>
      <c r="B2" s="2">
        <v>598.79999999999995</v>
      </c>
      <c r="C2" s="2">
        <v>566.29999999999995</v>
      </c>
      <c r="D2" s="2">
        <v>16.25</v>
      </c>
      <c r="E2" s="2">
        <v>444.5</v>
      </c>
      <c r="F2" s="2">
        <v>67.8</v>
      </c>
      <c r="G2" s="2">
        <v>2.0939999999999999</v>
      </c>
      <c r="H2" s="2">
        <f>((C2+B2)/2)*F2*E2/10^6</f>
        <v>17.556367604999998</v>
      </c>
      <c r="I2" s="2">
        <v>1.72</v>
      </c>
      <c r="J2" s="2">
        <f t="shared" ref="J2:J44" si="0">I2*H2</f>
        <v>30.196952280599998</v>
      </c>
      <c r="K2" s="5">
        <v>606</v>
      </c>
      <c r="L2" s="5">
        <f>K2*H2</f>
        <v>10639.158768629999</v>
      </c>
      <c r="M2" s="5">
        <f>K2*J2</f>
        <v>18299.353082043599</v>
      </c>
    </row>
    <row r="3" spans="1:13" ht="14.5" x14ac:dyDescent="0.35">
      <c r="A3" s="2" t="s">
        <v>14</v>
      </c>
      <c r="B3" s="2">
        <v>598.79999999999995</v>
      </c>
      <c r="C3" s="2">
        <v>581</v>
      </c>
      <c r="D3" s="2">
        <v>8.9</v>
      </c>
      <c r="E3" s="2">
        <v>242.5</v>
      </c>
      <c r="F3" s="2">
        <v>93.6</v>
      </c>
      <c r="G3" s="2">
        <v>2.1019999999999999</v>
      </c>
      <c r="H3" s="2">
        <f t="shared" ref="H3:H6" si="1">((C3+B3)/2)*F3*E3/10^6</f>
        <v>13.389550199999997</v>
      </c>
      <c r="I3" s="2">
        <v>1.72</v>
      </c>
      <c r="J3" s="2">
        <f t="shared" si="0"/>
        <v>23.030026343999996</v>
      </c>
      <c r="K3" s="5">
        <v>516</v>
      </c>
      <c r="L3" s="5">
        <f t="shared" ref="L3:L58" si="2">K3*H3</f>
        <v>6909.0079031999985</v>
      </c>
      <c r="M3" s="5">
        <f t="shared" ref="M3:M58" si="3">K3*J3</f>
        <v>11883.493593503998</v>
      </c>
    </row>
    <row r="4" spans="1:13" ht="14.5" x14ac:dyDescent="0.35">
      <c r="A4" s="2" t="s">
        <v>15</v>
      </c>
      <c r="B4" s="2">
        <v>598.29999999999995</v>
      </c>
      <c r="C4" s="2">
        <v>581</v>
      </c>
      <c r="D4" s="2">
        <v>8.65</v>
      </c>
      <c r="E4" s="2">
        <v>235.7</v>
      </c>
      <c r="F4" s="2">
        <v>93.6</v>
      </c>
      <c r="G4" s="2">
        <v>2.1019999999999999</v>
      </c>
      <c r="H4" s="2">
        <f t="shared" si="1"/>
        <v>13.008575268</v>
      </c>
      <c r="I4" s="2">
        <v>1.72</v>
      </c>
      <c r="J4" s="2">
        <f t="shared" si="0"/>
        <v>22.37474946096</v>
      </c>
      <c r="K4" s="5">
        <v>86</v>
      </c>
      <c r="L4" s="5">
        <f t="shared" si="2"/>
        <v>1118.7374730479999</v>
      </c>
      <c r="M4" s="5">
        <f t="shared" si="3"/>
        <v>1924.22845364256</v>
      </c>
    </row>
    <row r="5" spans="1:13" ht="14.5" x14ac:dyDescent="0.35">
      <c r="A5" s="2" t="s">
        <v>16</v>
      </c>
      <c r="B5" s="2">
        <v>597.6</v>
      </c>
      <c r="C5" s="2">
        <v>565.4</v>
      </c>
      <c r="D5" s="2">
        <v>16.100000000000001</v>
      </c>
      <c r="E5" s="2">
        <v>439.9</v>
      </c>
      <c r="F5" s="2">
        <v>67.8</v>
      </c>
      <c r="G5" s="2">
        <v>2.0960000000000001</v>
      </c>
      <c r="H5" s="2">
        <f t="shared" si="1"/>
        <v>17.343365429999995</v>
      </c>
      <c r="I5" s="2">
        <v>1.72</v>
      </c>
      <c r="J5" s="2">
        <f t="shared" si="0"/>
        <v>29.83058853959999</v>
      </c>
      <c r="K5" s="5">
        <v>86</v>
      </c>
      <c r="L5" s="5">
        <f t="shared" si="2"/>
        <v>1491.5294269799995</v>
      </c>
      <c r="M5" s="5">
        <f t="shared" si="3"/>
        <v>2565.430614405599</v>
      </c>
    </row>
    <row r="6" spans="1:13" ht="14.5" x14ac:dyDescent="0.35">
      <c r="A6" s="2" t="s">
        <v>17</v>
      </c>
      <c r="B6" s="2">
        <v>595.20000000000005</v>
      </c>
      <c r="C6" s="2">
        <v>577.9</v>
      </c>
      <c r="D6" s="2">
        <v>8.65</v>
      </c>
      <c r="E6" s="2">
        <v>236.2</v>
      </c>
      <c r="F6" s="2">
        <v>93.6</v>
      </c>
      <c r="G6" s="2">
        <v>2.097</v>
      </c>
      <c r="H6" s="2">
        <f t="shared" si="1"/>
        <v>12.967635095999999</v>
      </c>
      <c r="I6" s="2">
        <v>1.72</v>
      </c>
      <c r="J6" s="2">
        <f t="shared" si="0"/>
        <v>22.304332365119997</v>
      </c>
      <c r="K6" s="5">
        <v>87</v>
      </c>
      <c r="L6" s="5">
        <f t="shared" si="2"/>
        <v>1128.1842533519998</v>
      </c>
      <c r="M6" s="5">
        <f t="shared" si="3"/>
        <v>1940.4769157654398</v>
      </c>
    </row>
    <row r="7" spans="1:13" ht="14.5" x14ac:dyDescent="0.35">
      <c r="A7" s="2" t="s">
        <v>18</v>
      </c>
      <c r="B7" s="16">
        <v>594.5</v>
      </c>
      <c r="C7" s="2">
        <v>562.29999999999995</v>
      </c>
      <c r="D7" s="2">
        <v>16.100000000000001</v>
      </c>
      <c r="E7" s="16">
        <v>440</v>
      </c>
      <c r="F7" s="2">
        <v>67.8</v>
      </c>
      <c r="G7" s="2">
        <v>2.0960000000000001</v>
      </c>
      <c r="H7" s="2">
        <f t="shared" ref="H7:H15" si="4">((C7+B7)/2)*F7*E7/10^6</f>
        <v>17.254828799999999</v>
      </c>
      <c r="I7" s="2">
        <v>1.72</v>
      </c>
      <c r="J7" s="2">
        <f t="shared" si="0"/>
        <v>29.678305535999996</v>
      </c>
      <c r="K7" s="5">
        <v>87</v>
      </c>
      <c r="L7" s="5">
        <f t="shared" si="2"/>
        <v>1501.1701055999999</v>
      </c>
      <c r="M7" s="5">
        <f t="shared" si="3"/>
        <v>2582.0125816319996</v>
      </c>
    </row>
    <row r="8" spans="1:13" ht="14.5" x14ac:dyDescent="0.35">
      <c r="A8" s="2" t="s">
        <v>19</v>
      </c>
      <c r="B8" s="2">
        <v>599</v>
      </c>
      <c r="C8" s="2">
        <v>581.6</v>
      </c>
      <c r="D8" s="2">
        <v>8.6999999999999993</v>
      </c>
      <c r="E8" s="2">
        <v>236.2</v>
      </c>
      <c r="F8" s="2">
        <v>93.6</v>
      </c>
      <c r="G8" s="2">
        <v>2.109</v>
      </c>
      <c r="H8" s="2">
        <f t="shared" si="4"/>
        <v>13.050541295999999</v>
      </c>
      <c r="I8" s="2">
        <v>1.72</v>
      </c>
      <c r="J8" s="2">
        <f t="shared" si="0"/>
        <v>22.446931029119998</v>
      </c>
      <c r="K8" s="5">
        <v>85</v>
      </c>
      <c r="L8" s="5">
        <f t="shared" si="2"/>
        <v>1109.2960101599999</v>
      </c>
      <c r="M8" s="5">
        <f t="shared" si="3"/>
        <v>1907.9891374751999</v>
      </c>
    </row>
    <row r="9" spans="1:13" ht="14.5" x14ac:dyDescent="0.35">
      <c r="A9" s="2" t="s">
        <v>20</v>
      </c>
      <c r="B9" s="2">
        <v>598.4</v>
      </c>
      <c r="C9" s="2">
        <v>565.79999999999995</v>
      </c>
      <c r="D9" s="2">
        <v>16.3</v>
      </c>
      <c r="E9" s="2">
        <v>439.9</v>
      </c>
      <c r="F9" s="2">
        <v>67.8</v>
      </c>
      <c r="G9" s="2">
        <v>2.1219999999999999</v>
      </c>
      <c r="H9" s="2">
        <f t="shared" si="4"/>
        <v>17.361260561999995</v>
      </c>
      <c r="I9" s="2">
        <v>1.72</v>
      </c>
      <c r="J9" s="2">
        <f t="shared" si="0"/>
        <v>29.861368166639991</v>
      </c>
      <c r="K9" s="5">
        <v>85</v>
      </c>
      <c r="L9" s="5">
        <f t="shared" si="2"/>
        <v>1475.7071477699994</v>
      </c>
      <c r="M9" s="5">
        <f t="shared" si="3"/>
        <v>2538.2162941643992</v>
      </c>
    </row>
    <row r="10" spans="1:13" ht="14.5" x14ac:dyDescent="0.35">
      <c r="A10" s="2" t="s">
        <v>21</v>
      </c>
      <c r="B10" s="2">
        <v>595.9</v>
      </c>
      <c r="C10" s="2">
        <v>578.5</v>
      </c>
      <c r="D10" s="2">
        <v>8.6999999999999993</v>
      </c>
      <c r="E10" s="2">
        <v>236.1</v>
      </c>
      <c r="F10" s="2">
        <v>93.6</v>
      </c>
      <c r="G10" s="2">
        <v>2.11</v>
      </c>
      <c r="H10" s="2">
        <f t="shared" si="4"/>
        <v>12.976509311999999</v>
      </c>
      <c r="I10" s="2">
        <v>1.72</v>
      </c>
      <c r="J10" s="2">
        <f t="shared" si="0"/>
        <v>22.319596016639998</v>
      </c>
      <c r="K10" s="5">
        <v>86</v>
      </c>
      <c r="L10" s="5">
        <f t="shared" si="2"/>
        <v>1115.9798008319999</v>
      </c>
      <c r="M10" s="5">
        <f t="shared" si="3"/>
        <v>1919.4852574310398</v>
      </c>
    </row>
    <row r="11" spans="1:13" ht="14.5" x14ac:dyDescent="0.35">
      <c r="A11" s="2" t="s">
        <v>22</v>
      </c>
      <c r="B11" s="2">
        <v>595.20000000000005</v>
      </c>
      <c r="C11" s="2">
        <v>562.70000000000005</v>
      </c>
      <c r="D11" s="2">
        <v>16.25</v>
      </c>
      <c r="E11" s="2">
        <v>439.9</v>
      </c>
      <c r="F11" s="2">
        <v>67.8</v>
      </c>
      <c r="G11" s="2">
        <v>2.1160000000000001</v>
      </c>
      <c r="H11" s="2">
        <f t="shared" si="4"/>
        <v>17.267311119000002</v>
      </c>
      <c r="I11" s="2">
        <v>1.72</v>
      </c>
      <c r="J11" s="2">
        <f t="shared" si="0"/>
        <v>29.699775124680002</v>
      </c>
      <c r="K11" s="5">
        <v>86</v>
      </c>
      <c r="L11" s="5">
        <f t="shared" si="2"/>
        <v>1484.9887562340002</v>
      </c>
      <c r="M11" s="5">
        <f t="shared" si="3"/>
        <v>2554.1806607224803</v>
      </c>
    </row>
    <row r="12" spans="1:13" ht="14.5" x14ac:dyDescent="0.35">
      <c r="A12" s="2" t="s">
        <v>23</v>
      </c>
      <c r="B12" s="2">
        <v>599.79999999999995</v>
      </c>
      <c r="C12" s="2">
        <v>582.20000000000005</v>
      </c>
      <c r="D12" s="2">
        <v>8.8000000000000007</v>
      </c>
      <c r="E12" s="2">
        <v>236</v>
      </c>
      <c r="F12" s="2">
        <v>93.6</v>
      </c>
      <c r="G12" s="2">
        <v>2.1349999999999998</v>
      </c>
      <c r="H12" s="2">
        <f t="shared" si="4"/>
        <v>13.054953599999999</v>
      </c>
      <c r="I12" s="2">
        <v>1.72</v>
      </c>
      <c r="J12" s="2">
        <f t="shared" si="0"/>
        <v>22.454520191999997</v>
      </c>
      <c r="K12" s="5">
        <v>84</v>
      </c>
      <c r="L12" s="5">
        <f t="shared" si="2"/>
        <v>1096.6161024</v>
      </c>
      <c r="M12" s="5">
        <f t="shared" si="3"/>
        <v>1886.1796961279997</v>
      </c>
    </row>
    <row r="13" spans="1:13" ht="14.5" x14ac:dyDescent="0.35">
      <c r="A13" s="2" t="s">
        <v>24</v>
      </c>
      <c r="B13" s="2">
        <v>599.20000000000005</v>
      </c>
      <c r="C13" s="2">
        <v>566.20000000000005</v>
      </c>
      <c r="D13" s="2">
        <v>16.5</v>
      </c>
      <c r="E13" s="2">
        <v>439.8</v>
      </c>
      <c r="F13" s="2">
        <v>67.8</v>
      </c>
      <c r="G13" s="2">
        <v>2.149</v>
      </c>
      <c r="H13" s="2">
        <f t="shared" si="4"/>
        <v>17.375204988</v>
      </c>
      <c r="I13" s="2">
        <v>1.72</v>
      </c>
      <c r="J13" s="2">
        <f t="shared" si="0"/>
        <v>29.885352579359999</v>
      </c>
      <c r="K13" s="5">
        <v>84</v>
      </c>
      <c r="L13" s="5">
        <f t="shared" si="2"/>
        <v>1459.5172189919999</v>
      </c>
      <c r="M13" s="5">
        <f t="shared" si="3"/>
        <v>2510.3696166662398</v>
      </c>
    </row>
    <row r="14" spans="1:13" ht="14.5" x14ac:dyDescent="0.35">
      <c r="A14" s="2" t="s">
        <v>25</v>
      </c>
      <c r="B14" s="2">
        <v>596.70000000000005</v>
      </c>
      <c r="C14" s="2">
        <v>579</v>
      </c>
      <c r="D14" s="2">
        <v>8.85</v>
      </c>
      <c r="E14" s="2">
        <v>236.1</v>
      </c>
      <c r="F14" s="2">
        <v>93.6</v>
      </c>
      <c r="G14" s="2">
        <v>2.1469999999999998</v>
      </c>
      <c r="H14" s="2">
        <f t="shared" si="4"/>
        <v>12.990873636</v>
      </c>
      <c r="I14" s="2">
        <v>1.72</v>
      </c>
      <c r="J14" s="2">
        <f t="shared" si="0"/>
        <v>22.34430265392</v>
      </c>
      <c r="K14" s="5">
        <v>85</v>
      </c>
      <c r="L14" s="5">
        <f t="shared" si="2"/>
        <v>1104.2242590599999</v>
      </c>
      <c r="M14" s="5">
        <f t="shared" si="3"/>
        <v>1899.2657255832</v>
      </c>
    </row>
    <row r="15" spans="1:13" ht="14.5" x14ac:dyDescent="0.35">
      <c r="A15" s="2" t="s">
        <v>26</v>
      </c>
      <c r="B15" s="2">
        <v>596</v>
      </c>
      <c r="C15" s="2">
        <v>563.1</v>
      </c>
      <c r="D15" s="2">
        <v>16.45</v>
      </c>
      <c r="E15" s="2">
        <v>439.8</v>
      </c>
      <c r="F15" s="2">
        <v>67.8</v>
      </c>
      <c r="G15" s="2">
        <v>2.1419999999999999</v>
      </c>
      <c r="H15" s="2">
        <f t="shared" si="4"/>
        <v>17.281276901999998</v>
      </c>
      <c r="I15" s="2">
        <v>1.72</v>
      </c>
      <c r="J15" s="2">
        <f t="shared" si="0"/>
        <v>29.723796271439998</v>
      </c>
      <c r="K15" s="5">
        <v>85</v>
      </c>
      <c r="L15" s="5">
        <f t="shared" si="2"/>
        <v>1468.9085366699999</v>
      </c>
      <c r="M15" s="5">
        <f t="shared" si="3"/>
        <v>2526.5226830724</v>
      </c>
    </row>
    <row r="16" spans="1:13" ht="14.5" x14ac:dyDescent="0.35">
      <c r="A16" s="2" t="s">
        <v>27</v>
      </c>
      <c r="B16" s="2">
        <v>593.5</v>
      </c>
      <c r="C16" s="2">
        <v>575.79999999999995</v>
      </c>
      <c r="D16" s="2">
        <v>8.85</v>
      </c>
      <c r="E16" s="2">
        <v>236</v>
      </c>
      <c r="F16" s="2">
        <v>93.6</v>
      </c>
      <c r="G16" s="2">
        <v>2.1480000000000001</v>
      </c>
      <c r="H16" s="2">
        <f t="shared" ref="H16:H18" si="5">((C16+B16)/2)*F16*E16/10^6</f>
        <v>12.914684639999999</v>
      </c>
      <c r="I16" s="2">
        <v>1.72</v>
      </c>
      <c r="J16" s="2">
        <f t="shared" si="0"/>
        <v>22.213257580799997</v>
      </c>
      <c r="K16" s="5">
        <v>84</v>
      </c>
      <c r="L16" s="5">
        <f t="shared" si="2"/>
        <v>1084.83350976</v>
      </c>
      <c r="M16" s="5">
        <f t="shared" si="3"/>
        <v>1865.9136367871997</v>
      </c>
    </row>
    <row r="17" spans="1:13" ht="14.5" x14ac:dyDescent="0.35">
      <c r="A17" s="2" t="s">
        <v>28</v>
      </c>
      <c r="B17" s="2">
        <v>592.79999999999995</v>
      </c>
      <c r="C17" s="2">
        <v>559.9</v>
      </c>
      <c r="D17" s="2">
        <v>16.45</v>
      </c>
      <c r="E17" s="2">
        <v>439.9</v>
      </c>
      <c r="F17" s="2">
        <v>67.8</v>
      </c>
      <c r="G17" s="2">
        <v>2.1419999999999999</v>
      </c>
      <c r="H17" s="2">
        <f t="shared" si="5"/>
        <v>17.189765546999993</v>
      </c>
      <c r="I17" s="2">
        <v>1.72</v>
      </c>
      <c r="J17" s="2">
        <f t="shared" si="0"/>
        <v>29.566396740839988</v>
      </c>
      <c r="K17" s="5">
        <v>84</v>
      </c>
      <c r="L17" s="5">
        <f t="shared" si="2"/>
        <v>1443.9403059479994</v>
      </c>
      <c r="M17" s="5">
        <f t="shared" si="3"/>
        <v>2483.5773262305588</v>
      </c>
    </row>
    <row r="18" spans="1:13" ht="14.5" x14ac:dyDescent="0.35">
      <c r="A18" s="2" t="s">
        <v>29</v>
      </c>
      <c r="B18" s="2">
        <v>597.5</v>
      </c>
      <c r="C18" s="2">
        <v>579.6</v>
      </c>
      <c r="D18" s="2">
        <v>8.9499999999999993</v>
      </c>
      <c r="E18" s="2">
        <v>235.9</v>
      </c>
      <c r="F18" s="2">
        <v>93.6</v>
      </c>
      <c r="G18" s="2">
        <v>2.173</v>
      </c>
      <c r="H18" s="2">
        <f t="shared" si="5"/>
        <v>12.995325251999999</v>
      </c>
      <c r="I18" s="2">
        <v>1.72</v>
      </c>
      <c r="J18" s="2">
        <f t="shared" si="0"/>
        <v>22.351959433439998</v>
      </c>
      <c r="K18" s="5">
        <v>84</v>
      </c>
      <c r="L18" s="5">
        <f t="shared" si="2"/>
        <v>1091.607321168</v>
      </c>
      <c r="M18" s="5">
        <f t="shared" si="3"/>
        <v>1877.5645924089597</v>
      </c>
    </row>
    <row r="19" spans="1:13" ht="14.5" x14ac:dyDescent="0.35">
      <c r="A19" s="2" t="s">
        <v>30</v>
      </c>
      <c r="B19" s="2">
        <v>596.79999999999995</v>
      </c>
      <c r="C19" s="2">
        <v>563.5</v>
      </c>
      <c r="D19" s="2">
        <v>16.649999999999999</v>
      </c>
      <c r="E19" s="2">
        <v>439.8</v>
      </c>
      <c r="F19" s="2">
        <v>67.8</v>
      </c>
      <c r="G19" s="2">
        <v>2.1680000000000001</v>
      </c>
      <c r="H19" s="2">
        <f t="shared" ref="H19:H23" si="6">((C19+B19)/2)*F19*E19/10^6</f>
        <v>17.299167965999999</v>
      </c>
      <c r="I19" s="2">
        <v>1.72</v>
      </c>
      <c r="J19" s="2">
        <f t="shared" si="0"/>
        <v>29.754568901519999</v>
      </c>
      <c r="K19" s="5">
        <v>84</v>
      </c>
      <c r="L19" s="5">
        <f t="shared" si="2"/>
        <v>1453.130109144</v>
      </c>
      <c r="M19" s="5">
        <f t="shared" si="3"/>
        <v>2499.3837877276801</v>
      </c>
    </row>
    <row r="20" spans="1:13" ht="14.5" x14ac:dyDescent="0.35">
      <c r="A20" s="2" t="s">
        <v>31</v>
      </c>
      <c r="B20" s="2">
        <v>594.29999999999995</v>
      </c>
      <c r="C20" s="2">
        <v>576.4</v>
      </c>
      <c r="D20" s="2">
        <v>8.9499999999999993</v>
      </c>
      <c r="E20" s="2">
        <v>236.1</v>
      </c>
      <c r="F20" s="2">
        <v>93.6</v>
      </c>
      <c r="G20" s="2">
        <v>2.1709999999999998</v>
      </c>
      <c r="H20" s="2">
        <f t="shared" si="6"/>
        <v>12.935626235999996</v>
      </c>
      <c r="I20" s="2">
        <v>1.72</v>
      </c>
      <c r="J20" s="2">
        <f t="shared" si="0"/>
        <v>22.249277125919992</v>
      </c>
      <c r="K20" s="5">
        <v>83</v>
      </c>
      <c r="L20" s="5">
        <f t="shared" si="2"/>
        <v>1073.6569775879996</v>
      </c>
      <c r="M20" s="5">
        <f t="shared" si="3"/>
        <v>1846.6900014513594</v>
      </c>
    </row>
    <row r="21" spans="1:13" ht="14.5" x14ac:dyDescent="0.35">
      <c r="A21" s="2" t="s">
        <v>32</v>
      </c>
      <c r="B21" s="2">
        <v>593.6</v>
      </c>
      <c r="C21" s="2">
        <v>560.29999999999995</v>
      </c>
      <c r="D21" s="2">
        <v>16.649999999999999</v>
      </c>
      <c r="E21" s="2">
        <v>439.8</v>
      </c>
      <c r="F21" s="2">
        <v>67.8</v>
      </c>
      <c r="G21" s="2">
        <v>2.1680000000000001</v>
      </c>
      <c r="H21" s="2">
        <f t="shared" si="6"/>
        <v>17.203748958000002</v>
      </c>
      <c r="I21" s="2">
        <v>1.72</v>
      </c>
      <c r="J21" s="2">
        <f t="shared" si="0"/>
        <v>29.590448207760002</v>
      </c>
      <c r="K21" s="5">
        <v>83</v>
      </c>
      <c r="L21" s="5">
        <f t="shared" si="2"/>
        <v>1427.9111635140002</v>
      </c>
      <c r="M21" s="5">
        <f t="shared" si="3"/>
        <v>2456.0072012440801</v>
      </c>
    </row>
    <row r="22" spans="1:13" ht="14.5" x14ac:dyDescent="0.35">
      <c r="A22" s="2" t="s">
        <v>33</v>
      </c>
      <c r="B22" s="2">
        <v>598.29999999999995</v>
      </c>
      <c r="C22" s="2">
        <v>580.20000000000005</v>
      </c>
      <c r="D22" s="2">
        <v>9.0500000000000007</v>
      </c>
      <c r="E22" s="2">
        <v>236</v>
      </c>
      <c r="F22" s="2">
        <v>93.6</v>
      </c>
      <c r="G22" s="2">
        <v>2.1960000000000002</v>
      </c>
      <c r="H22" s="2">
        <f t="shared" si="6"/>
        <v>13.016296799999999</v>
      </c>
      <c r="I22" s="2">
        <v>1.72</v>
      </c>
      <c r="J22" s="2">
        <f t="shared" si="0"/>
        <v>22.388030495999999</v>
      </c>
      <c r="K22" s="5">
        <v>83</v>
      </c>
      <c r="L22" s="5">
        <f t="shared" si="2"/>
        <v>1080.3526343999999</v>
      </c>
      <c r="M22" s="5">
        <f t="shared" si="3"/>
        <v>1858.2065311679999</v>
      </c>
    </row>
    <row r="23" spans="1:13" ht="14.5" x14ac:dyDescent="0.35">
      <c r="A23" s="2" t="s">
        <v>34</v>
      </c>
      <c r="B23" s="2">
        <v>597.6</v>
      </c>
      <c r="C23" s="2">
        <v>563.79999999999995</v>
      </c>
      <c r="D23" s="2">
        <v>16.899999999999999</v>
      </c>
      <c r="E23" s="2">
        <v>439.7</v>
      </c>
      <c r="F23" s="2">
        <v>67.8</v>
      </c>
      <c r="G23" s="2">
        <v>2.2010000000000001</v>
      </c>
      <c r="H23" s="2">
        <f t="shared" si="6"/>
        <v>17.311630961999999</v>
      </c>
      <c r="I23" s="2">
        <v>1.72</v>
      </c>
      <c r="J23" s="2">
        <f t="shared" si="0"/>
        <v>29.776005254639998</v>
      </c>
      <c r="K23" s="5">
        <v>83</v>
      </c>
      <c r="L23" s="5">
        <f t="shared" si="2"/>
        <v>1436.8653698459998</v>
      </c>
      <c r="M23" s="5">
        <f t="shared" si="3"/>
        <v>2471.4084361351197</v>
      </c>
    </row>
    <row r="24" spans="1:13" ht="14.5" x14ac:dyDescent="0.35">
      <c r="A24" s="2" t="s">
        <v>35</v>
      </c>
      <c r="B24" s="2">
        <v>595</v>
      </c>
      <c r="C24" s="2">
        <v>576.9</v>
      </c>
      <c r="D24" s="2">
        <v>9.0500000000000007</v>
      </c>
      <c r="E24" s="2">
        <v>235.9</v>
      </c>
      <c r="F24" s="2">
        <v>93.6</v>
      </c>
      <c r="G24" s="2">
        <v>2.1970000000000001</v>
      </c>
      <c r="H24" s="2">
        <f t="shared" ref="H24:H58" si="7">((C24+B24)/2)*F24*E24/10^6</f>
        <v>12.937916628</v>
      </c>
      <c r="I24" s="2">
        <v>1.72</v>
      </c>
      <c r="J24" s="2">
        <f t="shared" si="0"/>
        <v>22.253216600159998</v>
      </c>
      <c r="K24" s="5">
        <v>82</v>
      </c>
      <c r="L24" s="5">
        <f t="shared" si="2"/>
        <v>1060.909163496</v>
      </c>
      <c r="M24" s="5">
        <f t="shared" si="3"/>
        <v>1824.7637612131198</v>
      </c>
    </row>
    <row r="25" spans="1:13" ht="14.5" x14ac:dyDescent="0.35">
      <c r="A25" s="2" t="s">
        <v>36</v>
      </c>
      <c r="B25" s="2">
        <v>594.29999999999995</v>
      </c>
      <c r="C25" s="2">
        <v>560.6</v>
      </c>
      <c r="D25" s="2">
        <v>16.850000000000001</v>
      </c>
      <c r="E25" s="2">
        <v>439.7</v>
      </c>
      <c r="F25" s="2">
        <v>67.8</v>
      </c>
      <c r="G25" s="2">
        <v>2.1949999999999998</v>
      </c>
      <c r="H25" s="2">
        <f t="shared" si="7"/>
        <v>17.214743067000001</v>
      </c>
      <c r="I25" s="2">
        <v>1.72</v>
      </c>
      <c r="J25" s="2">
        <f t="shared" si="0"/>
        <v>29.609358075239999</v>
      </c>
      <c r="K25" s="5">
        <v>82</v>
      </c>
      <c r="L25" s="5">
        <f t="shared" si="2"/>
        <v>1411.608931494</v>
      </c>
      <c r="M25" s="5">
        <f t="shared" si="3"/>
        <v>2427.9673621696797</v>
      </c>
    </row>
    <row r="26" spans="1:13" ht="14.5" x14ac:dyDescent="0.35">
      <c r="A26" s="2" t="s">
        <v>37</v>
      </c>
      <c r="B26" s="2">
        <v>599.1</v>
      </c>
      <c r="C26" s="2">
        <v>580.79999999999995</v>
      </c>
      <c r="D26" s="2">
        <v>9.15</v>
      </c>
      <c r="E26" s="2">
        <v>235.9</v>
      </c>
      <c r="F26" s="2">
        <v>93.6</v>
      </c>
      <c r="G26" s="2">
        <v>2.2210000000000001</v>
      </c>
      <c r="H26" s="2">
        <f t="shared" si="7"/>
        <v>13.026237587999999</v>
      </c>
      <c r="I26" s="2">
        <v>1.72</v>
      </c>
      <c r="J26" s="2">
        <f t="shared" si="0"/>
        <v>22.405128651359998</v>
      </c>
      <c r="K26" s="5">
        <v>82</v>
      </c>
      <c r="L26" s="5">
        <f t="shared" si="2"/>
        <v>1068.151482216</v>
      </c>
      <c r="M26" s="5">
        <f t="shared" si="3"/>
        <v>1837.2205494115199</v>
      </c>
    </row>
    <row r="27" spans="1:13" ht="14.5" x14ac:dyDescent="0.35">
      <c r="A27" s="2" t="s">
        <v>38</v>
      </c>
      <c r="B27" s="2">
        <v>598.4</v>
      </c>
      <c r="C27" s="2">
        <v>564.29999999999995</v>
      </c>
      <c r="D27" s="2">
        <v>17.05</v>
      </c>
      <c r="E27" s="2">
        <v>439.6</v>
      </c>
      <c r="F27" s="2">
        <v>67.8</v>
      </c>
      <c r="G27" s="2">
        <v>2.2210000000000001</v>
      </c>
      <c r="H27" s="2">
        <f t="shared" si="7"/>
        <v>17.327066987999999</v>
      </c>
      <c r="I27" s="2">
        <v>1.72</v>
      </c>
      <c r="J27" s="2">
        <f t="shared" si="0"/>
        <v>29.802555219359999</v>
      </c>
      <c r="K27" s="5">
        <v>82</v>
      </c>
      <c r="L27" s="5">
        <f t="shared" si="2"/>
        <v>1420.8194930159998</v>
      </c>
      <c r="M27" s="5">
        <f t="shared" si="3"/>
        <v>2443.8095279875197</v>
      </c>
    </row>
    <row r="28" spans="1:13" ht="14.5" x14ac:dyDescent="0.35">
      <c r="A28" s="2" t="s">
        <v>39</v>
      </c>
      <c r="B28" s="2">
        <v>595.79999999999995</v>
      </c>
      <c r="C28" s="2">
        <v>577.5</v>
      </c>
      <c r="D28" s="2">
        <v>9.15</v>
      </c>
      <c r="E28" s="2">
        <v>235.9</v>
      </c>
      <c r="F28" s="2">
        <v>93.6</v>
      </c>
      <c r="G28" s="2">
        <v>2.2210000000000001</v>
      </c>
      <c r="H28" s="2">
        <f t="shared" si="7"/>
        <v>12.953372795999998</v>
      </c>
      <c r="I28" s="2">
        <v>1.72</v>
      </c>
      <c r="J28" s="2">
        <f t="shared" si="0"/>
        <v>22.279801209119995</v>
      </c>
      <c r="K28" s="5">
        <v>81</v>
      </c>
      <c r="L28" s="5">
        <f t="shared" si="2"/>
        <v>1049.2231964759999</v>
      </c>
      <c r="M28" s="5">
        <f t="shared" si="3"/>
        <v>1804.6638979387196</v>
      </c>
    </row>
    <row r="29" spans="1:13" ht="14.5" x14ac:dyDescent="0.35">
      <c r="A29" s="2" t="s">
        <v>40</v>
      </c>
      <c r="B29" s="2">
        <v>595.1</v>
      </c>
      <c r="C29" s="2">
        <v>561</v>
      </c>
      <c r="D29" s="2">
        <v>17.05</v>
      </c>
      <c r="E29" s="2">
        <v>439.6</v>
      </c>
      <c r="F29" s="2">
        <v>67.8</v>
      </c>
      <c r="G29" s="2">
        <v>2.2210000000000001</v>
      </c>
      <c r="H29" s="2">
        <f t="shared" si="7"/>
        <v>17.228710883999998</v>
      </c>
      <c r="I29" s="2">
        <v>1.72</v>
      </c>
      <c r="J29" s="2">
        <f t="shared" si="0"/>
        <v>29.633382720479997</v>
      </c>
      <c r="K29" s="5">
        <v>81</v>
      </c>
      <c r="L29" s="5">
        <f t="shared" si="2"/>
        <v>1395.5255816039999</v>
      </c>
      <c r="M29" s="5">
        <f t="shared" si="3"/>
        <v>2400.3040003588799</v>
      </c>
    </row>
    <row r="30" spans="1:13" ht="14.5" x14ac:dyDescent="0.35">
      <c r="A30" s="2" t="s">
        <v>41</v>
      </c>
      <c r="B30" s="2">
        <v>599.9</v>
      </c>
      <c r="C30" s="2">
        <v>581.4</v>
      </c>
      <c r="D30" s="2">
        <v>9.25</v>
      </c>
      <c r="E30" s="2">
        <v>235.7</v>
      </c>
      <c r="F30" s="2">
        <v>93.6</v>
      </c>
      <c r="G30" s="2">
        <v>2.2469999999999999</v>
      </c>
      <c r="H30" s="2">
        <f t="shared" si="7"/>
        <v>13.030636787999999</v>
      </c>
      <c r="I30" s="2">
        <v>1.72</v>
      </c>
      <c r="J30" s="2">
        <f t="shared" si="0"/>
        <v>22.412695275359997</v>
      </c>
      <c r="K30" s="5">
        <v>81</v>
      </c>
      <c r="L30" s="5">
        <f t="shared" si="2"/>
        <v>1055.4815798279999</v>
      </c>
      <c r="M30" s="5">
        <f t="shared" si="3"/>
        <v>1815.4283173041597</v>
      </c>
    </row>
    <row r="31" spans="1:13" ht="14.5" x14ac:dyDescent="0.35">
      <c r="A31" s="2" t="s">
        <v>42</v>
      </c>
      <c r="B31" s="2">
        <v>599.20000000000005</v>
      </c>
      <c r="C31" s="2">
        <v>564.70000000000005</v>
      </c>
      <c r="D31" s="2">
        <v>17.25</v>
      </c>
      <c r="E31" s="2">
        <v>439.5</v>
      </c>
      <c r="F31" s="2">
        <v>67.8</v>
      </c>
      <c r="G31" s="2">
        <v>2.2480000000000002</v>
      </c>
      <c r="H31" s="2">
        <f t="shared" si="7"/>
        <v>17.341004294999998</v>
      </c>
      <c r="I31" s="2">
        <v>1.72</v>
      </c>
      <c r="J31" s="2">
        <f t="shared" si="0"/>
        <v>29.826527387399995</v>
      </c>
      <c r="K31" s="5">
        <v>81</v>
      </c>
      <c r="L31" s="5">
        <f t="shared" si="2"/>
        <v>1404.6213478949999</v>
      </c>
      <c r="M31" s="5">
        <f t="shared" si="3"/>
        <v>2415.9487183793995</v>
      </c>
    </row>
    <row r="32" spans="1:13" ht="14.5" x14ac:dyDescent="0.35">
      <c r="A32" s="2" t="s">
        <v>43</v>
      </c>
      <c r="B32" s="2">
        <v>596.6</v>
      </c>
      <c r="C32" s="2">
        <v>578.1</v>
      </c>
      <c r="D32" s="2">
        <v>9.25</v>
      </c>
      <c r="E32" s="2">
        <v>235.8</v>
      </c>
      <c r="F32" s="2">
        <v>93.6</v>
      </c>
      <c r="G32" s="2">
        <v>2.246</v>
      </c>
      <c r="H32" s="2">
        <f t="shared" si="7"/>
        <v>12.963331368</v>
      </c>
      <c r="I32" s="2">
        <v>1.72</v>
      </c>
      <c r="J32" s="2">
        <f t="shared" si="0"/>
        <v>22.296929952959999</v>
      </c>
      <c r="K32" s="5">
        <v>80</v>
      </c>
      <c r="L32" s="5">
        <f t="shared" si="2"/>
        <v>1037.0665094400001</v>
      </c>
      <c r="M32" s="5">
        <f t="shared" si="3"/>
        <v>1783.7543962367999</v>
      </c>
    </row>
    <row r="33" spans="1:13" ht="14.5" x14ac:dyDescent="0.35">
      <c r="A33" s="2" t="s">
        <v>44</v>
      </c>
      <c r="B33" s="2">
        <v>595.9</v>
      </c>
      <c r="C33" s="2">
        <v>561.29999999999995</v>
      </c>
      <c r="D33" s="2">
        <v>17.3</v>
      </c>
      <c r="E33" s="2">
        <v>439.5</v>
      </c>
      <c r="F33" s="2">
        <v>67.8</v>
      </c>
      <c r="G33" s="2">
        <v>2.254</v>
      </c>
      <c r="H33" s="2">
        <f t="shared" si="7"/>
        <v>17.241180659999998</v>
      </c>
      <c r="I33" s="2">
        <v>1.72</v>
      </c>
      <c r="J33" s="2">
        <f t="shared" si="0"/>
        <v>29.654830735199997</v>
      </c>
      <c r="K33" s="5">
        <v>80</v>
      </c>
      <c r="L33" s="5">
        <f t="shared" si="2"/>
        <v>1379.2944527999998</v>
      </c>
      <c r="M33" s="5">
        <f t="shared" si="3"/>
        <v>2372.386458816</v>
      </c>
    </row>
    <row r="34" spans="1:13" ht="14.5" x14ac:dyDescent="0.35">
      <c r="A34" s="2" t="s">
        <v>45</v>
      </c>
      <c r="B34" s="2">
        <v>593.29999999999995</v>
      </c>
      <c r="C34" s="2">
        <v>574.70000000000005</v>
      </c>
      <c r="D34" s="2">
        <v>9.3000000000000007</v>
      </c>
      <c r="E34" s="2">
        <v>235.9</v>
      </c>
      <c r="F34" s="2">
        <v>93.6</v>
      </c>
      <c r="G34" s="2">
        <v>2.258</v>
      </c>
      <c r="H34" s="2">
        <f t="shared" si="7"/>
        <v>12.894860159999999</v>
      </c>
      <c r="I34" s="2">
        <v>1.72</v>
      </c>
      <c r="J34" s="2">
        <f t="shared" si="0"/>
        <v>22.179159475199999</v>
      </c>
      <c r="K34" s="5">
        <v>81</v>
      </c>
      <c r="L34" s="5">
        <f t="shared" si="2"/>
        <v>1044.4836729599999</v>
      </c>
      <c r="M34" s="5">
        <f t="shared" si="3"/>
        <v>1796.5119174911999</v>
      </c>
    </row>
    <row r="35" spans="1:13" ht="14.5" x14ac:dyDescent="0.35">
      <c r="A35" s="2" t="s">
        <v>46</v>
      </c>
      <c r="B35" s="2">
        <v>592.5</v>
      </c>
      <c r="C35" s="2">
        <v>558</v>
      </c>
      <c r="D35" s="2">
        <v>17.25</v>
      </c>
      <c r="E35" s="2">
        <v>439.6</v>
      </c>
      <c r="F35" s="2">
        <v>67.8</v>
      </c>
      <c r="G35" s="2">
        <v>2.2469999999999999</v>
      </c>
      <c r="H35" s="2">
        <f t="shared" si="7"/>
        <v>17.145257219999998</v>
      </c>
      <c r="I35" s="2">
        <v>1.72</v>
      </c>
      <c r="J35" s="2">
        <f t="shared" si="0"/>
        <v>29.489842418399995</v>
      </c>
      <c r="K35" s="5">
        <v>79</v>
      </c>
      <c r="L35" s="5">
        <f t="shared" si="2"/>
        <v>1354.4753203799999</v>
      </c>
      <c r="M35" s="5">
        <f t="shared" si="3"/>
        <v>2329.6975510535995</v>
      </c>
    </row>
    <row r="36" spans="1:13" ht="14.5" x14ac:dyDescent="0.35">
      <c r="A36" s="2" t="s">
        <v>47</v>
      </c>
      <c r="B36" s="2">
        <v>597.1</v>
      </c>
      <c r="C36" s="2">
        <v>578.4</v>
      </c>
      <c r="D36" s="2">
        <v>9.35</v>
      </c>
      <c r="E36" s="2">
        <v>235.7</v>
      </c>
      <c r="F36" s="2">
        <v>93.6</v>
      </c>
      <c r="G36" s="2">
        <v>2.2719999999999998</v>
      </c>
      <c r="H36" s="2">
        <f t="shared" si="7"/>
        <v>12.966658379999997</v>
      </c>
      <c r="I36" s="2">
        <v>1.72</v>
      </c>
      <c r="J36" s="2">
        <f t="shared" si="0"/>
        <v>22.302652413599994</v>
      </c>
      <c r="K36" s="5">
        <v>79</v>
      </c>
      <c r="L36" s="5">
        <f t="shared" si="2"/>
        <v>1024.3660120199997</v>
      </c>
      <c r="M36" s="5">
        <f t="shared" si="3"/>
        <v>1761.9095406743995</v>
      </c>
    </row>
    <row r="37" spans="1:13" ht="14.5" x14ac:dyDescent="0.35">
      <c r="A37" s="2" t="s">
        <v>48</v>
      </c>
      <c r="B37" s="2">
        <v>596.29999999999995</v>
      </c>
      <c r="C37" s="2">
        <v>561.4</v>
      </c>
      <c r="D37" s="2">
        <v>17.45</v>
      </c>
      <c r="E37" s="2">
        <v>438.6</v>
      </c>
      <c r="F37" s="2">
        <v>82</v>
      </c>
      <c r="G37" s="2">
        <v>2.278</v>
      </c>
      <c r="H37" s="2">
        <f t="shared" si="7"/>
        <v>20.818456019999996</v>
      </c>
      <c r="I37" s="2">
        <v>1.72</v>
      </c>
      <c r="J37" s="2">
        <f t="shared" si="0"/>
        <v>35.807744354399993</v>
      </c>
      <c r="K37" s="5">
        <v>80</v>
      </c>
      <c r="L37" s="5">
        <f t="shared" si="2"/>
        <v>1665.4764815999997</v>
      </c>
      <c r="M37" s="5">
        <f t="shared" si="3"/>
        <v>2864.6195483519996</v>
      </c>
    </row>
    <row r="38" spans="1:13" ht="14.5" x14ac:dyDescent="0.35">
      <c r="A38" s="2" t="s">
        <v>49</v>
      </c>
      <c r="B38" s="2">
        <v>593.29999999999995</v>
      </c>
      <c r="C38" s="2">
        <v>574.6</v>
      </c>
      <c r="D38" s="2">
        <v>9.35</v>
      </c>
      <c r="E38" s="2">
        <v>235.8</v>
      </c>
      <c r="F38" s="2">
        <v>93.6</v>
      </c>
      <c r="G38" s="2">
        <v>2.2709999999999999</v>
      </c>
      <c r="H38" s="2">
        <f t="shared" si="7"/>
        <v>12.888290376</v>
      </c>
      <c r="I38" s="2">
        <v>1.72</v>
      </c>
      <c r="J38" s="2">
        <f t="shared" si="0"/>
        <v>22.167859446720001</v>
      </c>
      <c r="K38" s="5">
        <v>80</v>
      </c>
      <c r="L38" s="5">
        <f t="shared" si="2"/>
        <v>1031.06323008</v>
      </c>
      <c r="M38" s="5">
        <f t="shared" si="3"/>
        <v>1773.4287557376001</v>
      </c>
    </row>
    <row r="39" spans="1:13" ht="14.5" x14ac:dyDescent="0.35">
      <c r="A39" s="2" t="s">
        <v>50</v>
      </c>
      <c r="B39" s="2">
        <v>592.5</v>
      </c>
      <c r="C39" s="2">
        <v>557.6</v>
      </c>
      <c r="D39" s="2">
        <v>17.45</v>
      </c>
      <c r="E39" s="2">
        <v>438.5</v>
      </c>
      <c r="F39" s="2">
        <v>82</v>
      </c>
      <c r="G39" s="2">
        <v>2.2789999999999999</v>
      </c>
      <c r="H39" s="2">
        <f t="shared" si="7"/>
        <v>20.677072849999998</v>
      </c>
      <c r="I39" s="2">
        <v>1.72</v>
      </c>
      <c r="J39" s="2">
        <f t="shared" si="0"/>
        <v>35.564565301999998</v>
      </c>
      <c r="K39" s="5">
        <v>78</v>
      </c>
      <c r="L39" s="5">
        <f t="shared" si="2"/>
        <v>1612.8116822999998</v>
      </c>
      <c r="M39" s="5">
        <f t="shared" si="3"/>
        <v>2774.0360935559997</v>
      </c>
    </row>
    <row r="40" spans="1:13" ht="14.5" x14ac:dyDescent="0.35">
      <c r="A40" s="2" t="s">
        <v>51</v>
      </c>
      <c r="B40" s="2">
        <v>597.1</v>
      </c>
      <c r="C40" s="2">
        <v>578.1</v>
      </c>
      <c r="D40" s="2">
        <v>9.5</v>
      </c>
      <c r="E40" s="2">
        <v>235.6</v>
      </c>
      <c r="F40" s="2">
        <v>93.6</v>
      </c>
      <c r="G40" s="2">
        <v>2.3090000000000002</v>
      </c>
      <c r="H40" s="2">
        <f t="shared" si="7"/>
        <v>12.957849216</v>
      </c>
      <c r="I40" s="2">
        <v>1.72</v>
      </c>
      <c r="J40" s="2">
        <f t="shared" si="0"/>
        <v>22.287500651519998</v>
      </c>
      <c r="K40" s="5">
        <v>78</v>
      </c>
      <c r="L40" s="5">
        <f t="shared" si="2"/>
        <v>1010.712238848</v>
      </c>
      <c r="M40" s="5">
        <f t="shared" si="3"/>
        <v>1738.4250508185598</v>
      </c>
    </row>
    <row r="41" spans="1:13" ht="14.5" x14ac:dyDescent="0.35">
      <c r="A41" s="2" t="s">
        <v>52</v>
      </c>
      <c r="B41" s="2">
        <v>596.20000000000005</v>
      </c>
      <c r="C41" s="2">
        <v>560.9</v>
      </c>
      <c r="D41" s="2">
        <v>17.649999999999999</v>
      </c>
      <c r="E41" s="2">
        <v>438.4</v>
      </c>
      <c r="F41" s="2">
        <v>82</v>
      </c>
      <c r="G41" s="2">
        <v>2.3050000000000002</v>
      </c>
      <c r="H41" s="2">
        <f t="shared" si="7"/>
        <v>20.798178239999999</v>
      </c>
      <c r="I41" s="2">
        <v>1.72</v>
      </c>
      <c r="J41" s="2">
        <f t="shared" si="0"/>
        <v>35.772866572799998</v>
      </c>
      <c r="K41" s="5">
        <v>78</v>
      </c>
      <c r="L41" s="5">
        <f t="shared" si="2"/>
        <v>1622.2579027199999</v>
      </c>
      <c r="M41" s="5">
        <f t="shared" si="3"/>
        <v>2790.2835926784001</v>
      </c>
    </row>
    <row r="42" spans="1:13" ht="14.5" x14ac:dyDescent="0.35">
      <c r="A42" s="2" t="s">
        <v>53</v>
      </c>
      <c r="B42" s="2">
        <v>593.20000000000005</v>
      </c>
      <c r="C42" s="2">
        <v>574.29999999999995</v>
      </c>
      <c r="D42" s="2">
        <v>9.4499999999999993</v>
      </c>
      <c r="E42" s="2">
        <v>235.6</v>
      </c>
      <c r="F42" s="2">
        <v>93.6</v>
      </c>
      <c r="G42" s="2">
        <v>2.2970000000000002</v>
      </c>
      <c r="H42" s="2">
        <f t="shared" si="7"/>
        <v>12.8729484</v>
      </c>
      <c r="I42" s="2">
        <v>1.72</v>
      </c>
      <c r="J42" s="2">
        <f t="shared" si="0"/>
        <v>22.141471247999998</v>
      </c>
      <c r="K42" s="5">
        <v>79</v>
      </c>
      <c r="L42" s="5">
        <f t="shared" si="2"/>
        <v>1016.9629236000001</v>
      </c>
      <c r="M42" s="5">
        <f t="shared" si="3"/>
        <v>1749.1762285919999</v>
      </c>
    </row>
    <row r="43" spans="1:13" ht="14.5" x14ac:dyDescent="0.35">
      <c r="A43" s="2" t="s">
        <v>54</v>
      </c>
      <c r="B43" s="2">
        <v>592.4</v>
      </c>
      <c r="C43" s="2">
        <v>557</v>
      </c>
      <c r="D43" s="2">
        <v>17.7</v>
      </c>
      <c r="E43" s="2">
        <v>438.4</v>
      </c>
      <c r="F43" s="2">
        <v>82</v>
      </c>
      <c r="G43" s="2">
        <v>2.3119999999999998</v>
      </c>
      <c r="H43" s="2">
        <f t="shared" si="7"/>
        <v>20.659775360000001</v>
      </c>
      <c r="I43" s="2">
        <v>1.72</v>
      </c>
      <c r="J43" s="2">
        <f t="shared" si="0"/>
        <v>35.534813619200001</v>
      </c>
      <c r="K43" s="5">
        <v>79</v>
      </c>
      <c r="L43" s="5">
        <f t="shared" si="2"/>
        <v>1632.1222534400001</v>
      </c>
      <c r="M43" s="5">
        <f t="shared" si="3"/>
        <v>2807.2502759168001</v>
      </c>
    </row>
    <row r="44" spans="1:13" ht="14.5" x14ac:dyDescent="0.35">
      <c r="A44" s="2" t="s">
        <v>55</v>
      </c>
      <c r="B44" s="2">
        <v>597.1</v>
      </c>
      <c r="C44" s="2">
        <v>577.79999999999995</v>
      </c>
      <c r="D44" s="2">
        <v>9.65</v>
      </c>
      <c r="E44" s="2">
        <v>235.6</v>
      </c>
      <c r="F44" s="2">
        <v>93.6</v>
      </c>
      <c r="G44" s="2">
        <v>2.3450000000000002</v>
      </c>
      <c r="H44" s="2">
        <f t="shared" si="7"/>
        <v>12.954541391999999</v>
      </c>
      <c r="I44" s="2">
        <v>1.72</v>
      </c>
      <c r="J44" s="2">
        <f t="shared" si="0"/>
        <v>22.281811194239999</v>
      </c>
      <c r="K44" s="5">
        <v>77</v>
      </c>
      <c r="L44" s="5">
        <f t="shared" si="2"/>
        <v>997.49968718399998</v>
      </c>
      <c r="M44" s="5">
        <f t="shared" si="3"/>
        <v>1715.69946195648</v>
      </c>
    </row>
    <row r="45" spans="1:13" ht="24" x14ac:dyDescent="0.35">
      <c r="A45" s="6" t="s">
        <v>0</v>
      </c>
      <c r="B45" s="6" t="s">
        <v>1</v>
      </c>
      <c r="C45" s="6" t="s">
        <v>2</v>
      </c>
      <c r="D45" s="6" t="s">
        <v>3</v>
      </c>
      <c r="E45" s="6" t="s">
        <v>4</v>
      </c>
      <c r="F45" s="6" t="s">
        <v>5</v>
      </c>
      <c r="G45" s="6" t="s">
        <v>6</v>
      </c>
      <c r="H45" s="6" t="s">
        <v>7</v>
      </c>
      <c r="I45" s="6" t="s">
        <v>8</v>
      </c>
      <c r="J45" s="4" t="s">
        <v>9</v>
      </c>
      <c r="K45" s="3" t="s">
        <v>10</v>
      </c>
      <c r="L45" s="3" t="s">
        <v>11</v>
      </c>
      <c r="M45" s="3" t="s">
        <v>12</v>
      </c>
    </row>
    <row r="46" spans="1:13" ht="14.5" x14ac:dyDescent="0.35">
      <c r="A46" s="2" t="s">
        <v>56</v>
      </c>
      <c r="B46" s="2">
        <v>595.4</v>
      </c>
      <c r="C46" s="2">
        <v>537.5</v>
      </c>
      <c r="D46" s="2">
        <v>28.95</v>
      </c>
      <c r="E46" s="2">
        <v>764.4</v>
      </c>
      <c r="F46" s="2">
        <v>164.8</v>
      </c>
      <c r="G46" s="2">
        <v>376</v>
      </c>
      <c r="H46" s="2">
        <f t="shared" si="7"/>
        <v>71.35747382400001</v>
      </c>
      <c r="I46" s="2">
        <v>1.72</v>
      </c>
      <c r="J46" s="2">
        <f t="shared" ref="J46:J58" si="8">I46*H46</f>
        <v>122.73485497728002</v>
      </c>
      <c r="K46" s="5">
        <v>83</v>
      </c>
      <c r="L46" s="5">
        <f t="shared" si="2"/>
        <v>5922.6703273920011</v>
      </c>
      <c r="M46" s="5">
        <f t="shared" si="3"/>
        <v>10186.992963114242</v>
      </c>
    </row>
    <row r="47" spans="1:13" ht="14.5" x14ac:dyDescent="0.35">
      <c r="A47" s="2" t="s">
        <v>57</v>
      </c>
      <c r="B47" s="2">
        <v>595.4</v>
      </c>
      <c r="C47" s="2">
        <v>538</v>
      </c>
      <c r="D47" s="2">
        <v>28.7</v>
      </c>
      <c r="E47" s="2">
        <v>757.9</v>
      </c>
      <c r="F47" s="2">
        <v>74.599999999999994</v>
      </c>
      <c r="G47" s="2">
        <v>373</v>
      </c>
      <c r="H47" s="2">
        <f t="shared" si="7"/>
        <v>32.040843977999998</v>
      </c>
      <c r="I47" s="2">
        <v>1.72</v>
      </c>
      <c r="J47" s="2">
        <f t="shared" si="8"/>
        <v>55.110251642159994</v>
      </c>
      <c r="K47" s="5">
        <v>84</v>
      </c>
      <c r="L47" s="5">
        <f t="shared" si="2"/>
        <v>2691.4308941519998</v>
      </c>
      <c r="M47" s="5">
        <f t="shared" si="3"/>
        <v>4629.2611379414393</v>
      </c>
    </row>
    <row r="48" spans="1:13" ht="14.5" x14ac:dyDescent="0.35">
      <c r="A48" s="2" t="s">
        <v>58</v>
      </c>
      <c r="B48" s="2">
        <v>595.4</v>
      </c>
      <c r="C48" s="2">
        <v>541.4</v>
      </c>
      <c r="D48" s="2">
        <v>27</v>
      </c>
      <c r="E48" s="2">
        <v>713.5</v>
      </c>
      <c r="F48" s="2">
        <v>201.6</v>
      </c>
      <c r="G48" s="2">
        <v>351</v>
      </c>
      <c r="H48" s="2">
        <f t="shared" si="7"/>
        <v>81.759565440000003</v>
      </c>
      <c r="I48" s="2">
        <v>1.72</v>
      </c>
      <c r="J48" s="2">
        <f t="shared" si="8"/>
        <v>140.62645255679999</v>
      </c>
      <c r="K48" s="5">
        <v>83</v>
      </c>
      <c r="L48" s="5">
        <f t="shared" si="2"/>
        <v>6786.0439315200001</v>
      </c>
      <c r="M48" s="5">
        <f t="shared" si="3"/>
        <v>11671.995562214399</v>
      </c>
    </row>
    <row r="49" spans="1:13" ht="14.5" x14ac:dyDescent="0.35">
      <c r="A49" s="2" t="s">
        <v>59</v>
      </c>
      <c r="B49" s="2">
        <v>595.4</v>
      </c>
      <c r="C49" s="2">
        <v>545.5</v>
      </c>
      <c r="D49" s="2">
        <v>24.95</v>
      </c>
      <c r="E49" s="2">
        <v>658.6</v>
      </c>
      <c r="F49" s="2">
        <v>201.6</v>
      </c>
      <c r="G49" s="2">
        <v>324</v>
      </c>
      <c r="H49" s="2">
        <f t="shared" si="7"/>
        <v>75.740791392000006</v>
      </c>
      <c r="I49" s="2">
        <v>1.72</v>
      </c>
      <c r="J49" s="2">
        <f t="shared" si="8"/>
        <v>130.27416119424001</v>
      </c>
      <c r="K49" s="5">
        <v>84</v>
      </c>
      <c r="L49" s="5">
        <f t="shared" si="2"/>
        <v>6362.2264769280009</v>
      </c>
      <c r="M49" s="5">
        <f t="shared" si="3"/>
        <v>10943.02954031616</v>
      </c>
    </row>
    <row r="50" spans="1:13" ht="14.5" x14ac:dyDescent="0.35">
      <c r="A50" s="2" t="s">
        <v>60</v>
      </c>
      <c r="B50" s="2">
        <v>595.4</v>
      </c>
      <c r="C50" s="2">
        <v>549.70000000000005</v>
      </c>
      <c r="D50" s="2">
        <v>22.85</v>
      </c>
      <c r="E50" s="2">
        <v>603.70000000000005</v>
      </c>
      <c r="F50" s="2">
        <v>201.6</v>
      </c>
      <c r="G50" s="2">
        <v>298</v>
      </c>
      <c r="H50" s="2">
        <f t="shared" si="7"/>
        <v>69.682724495999992</v>
      </c>
      <c r="I50" s="2">
        <v>1.72</v>
      </c>
      <c r="J50" s="2">
        <f t="shared" si="8"/>
        <v>119.85428613311998</v>
      </c>
      <c r="K50" s="5">
        <v>83</v>
      </c>
      <c r="L50" s="5">
        <f t="shared" si="2"/>
        <v>5783.6661331679989</v>
      </c>
      <c r="M50" s="5">
        <f t="shared" si="3"/>
        <v>9947.9057490489595</v>
      </c>
    </row>
    <row r="51" spans="1:13" ht="14.5" x14ac:dyDescent="0.35">
      <c r="A51" s="2" t="s">
        <v>61</v>
      </c>
      <c r="B51" s="2">
        <v>595.4</v>
      </c>
      <c r="C51" s="2">
        <v>553.9</v>
      </c>
      <c r="D51" s="2">
        <v>20.75</v>
      </c>
      <c r="E51" s="2">
        <v>548.70000000000005</v>
      </c>
      <c r="F51" s="2">
        <v>201.6</v>
      </c>
      <c r="G51" s="2">
        <v>271</v>
      </c>
      <c r="H51" s="2">
        <f t="shared" si="7"/>
        <v>63.566587728000002</v>
      </c>
      <c r="I51" s="2">
        <v>1.72</v>
      </c>
      <c r="J51" s="2">
        <f t="shared" si="8"/>
        <v>109.33453089216</v>
      </c>
      <c r="K51" s="5">
        <v>84</v>
      </c>
      <c r="L51" s="5">
        <f t="shared" si="2"/>
        <v>5339.5933691520004</v>
      </c>
      <c r="M51" s="5">
        <f t="shared" si="3"/>
        <v>9184.1005949414412</v>
      </c>
    </row>
    <row r="52" spans="1:13" ht="14.5" x14ac:dyDescent="0.35">
      <c r="A52" s="2" t="s">
        <v>62</v>
      </c>
      <c r="B52" s="2">
        <v>595.4</v>
      </c>
      <c r="C52" s="2">
        <v>558</v>
      </c>
      <c r="D52" s="2">
        <v>18.7</v>
      </c>
      <c r="E52" s="2">
        <v>493.8</v>
      </c>
      <c r="F52" s="2">
        <v>201.6</v>
      </c>
      <c r="G52" s="2">
        <v>244</v>
      </c>
      <c r="H52" s="2">
        <f t="shared" si="7"/>
        <v>57.410531136000003</v>
      </c>
      <c r="I52" s="2">
        <v>1.72</v>
      </c>
      <c r="J52" s="2">
        <f t="shared" si="8"/>
        <v>98.746113553919997</v>
      </c>
      <c r="K52" s="5">
        <v>83</v>
      </c>
      <c r="L52" s="5">
        <f t="shared" si="2"/>
        <v>4765.0740842880004</v>
      </c>
      <c r="M52" s="5">
        <f t="shared" si="3"/>
        <v>8195.9274249753598</v>
      </c>
    </row>
    <row r="53" spans="1:13" ht="14.5" x14ac:dyDescent="0.35">
      <c r="A53" s="2" t="s">
        <v>63</v>
      </c>
      <c r="B53" s="2">
        <v>595.4</v>
      </c>
      <c r="C53" s="2">
        <v>562.20000000000005</v>
      </c>
      <c r="D53" s="2">
        <v>16.600000000000001</v>
      </c>
      <c r="E53" s="2">
        <v>438.9</v>
      </c>
      <c r="F53" s="2">
        <v>201.6</v>
      </c>
      <c r="G53" s="2">
        <v>217</v>
      </c>
      <c r="H53" s="2">
        <f t="shared" si="7"/>
        <v>51.213520511999995</v>
      </c>
      <c r="I53" s="2">
        <v>1.72</v>
      </c>
      <c r="J53" s="2">
        <f t="shared" si="8"/>
        <v>88.087255280639994</v>
      </c>
      <c r="K53" s="5">
        <v>84</v>
      </c>
      <c r="L53" s="5">
        <f t="shared" si="2"/>
        <v>4301.9357230079995</v>
      </c>
      <c r="M53" s="5">
        <f t="shared" si="3"/>
        <v>7399.3294435737598</v>
      </c>
    </row>
    <row r="54" spans="1:13" ht="14.5" x14ac:dyDescent="0.35">
      <c r="A54" s="2" t="s">
        <v>64</v>
      </c>
      <c r="B54" s="2">
        <v>598.79999999999995</v>
      </c>
      <c r="C54" s="2">
        <v>566.4</v>
      </c>
      <c r="D54" s="2">
        <v>16.2</v>
      </c>
      <c r="E54" s="2">
        <v>428.6</v>
      </c>
      <c r="F54" s="2">
        <v>201.6</v>
      </c>
      <c r="G54" s="2">
        <v>212</v>
      </c>
      <c r="H54" s="2">
        <f t="shared" si="7"/>
        <v>50.339995775999995</v>
      </c>
      <c r="I54" s="2">
        <v>1.72</v>
      </c>
      <c r="J54" s="2">
        <f t="shared" si="8"/>
        <v>86.584792734719997</v>
      </c>
      <c r="K54" s="5">
        <v>83</v>
      </c>
      <c r="L54" s="5">
        <f t="shared" si="2"/>
        <v>4178.2196494079999</v>
      </c>
      <c r="M54" s="5">
        <f t="shared" si="3"/>
        <v>7186.53779698176</v>
      </c>
    </row>
    <row r="55" spans="1:13" ht="14.5" x14ac:dyDescent="0.35">
      <c r="A55" s="2" t="s">
        <v>65</v>
      </c>
      <c r="B55" s="2">
        <v>595.79999999999995</v>
      </c>
      <c r="C55" s="2">
        <v>563.70000000000005</v>
      </c>
      <c r="D55" s="2">
        <v>16.05</v>
      </c>
      <c r="E55" s="2">
        <v>428.7</v>
      </c>
      <c r="F55" s="2">
        <v>201.6</v>
      </c>
      <c r="G55" s="2">
        <v>212</v>
      </c>
      <c r="H55" s="2">
        <f t="shared" si="7"/>
        <v>50.105427119999995</v>
      </c>
      <c r="I55" s="2">
        <v>1.72</v>
      </c>
      <c r="J55" s="2">
        <f t="shared" si="8"/>
        <v>86.181334646399989</v>
      </c>
      <c r="K55" s="5">
        <v>85</v>
      </c>
      <c r="L55" s="5">
        <f t="shared" si="2"/>
        <v>4258.9613051999995</v>
      </c>
      <c r="M55" s="5">
        <f t="shared" si="3"/>
        <v>7325.4134449439989</v>
      </c>
    </row>
    <row r="56" spans="1:13" ht="14.5" x14ac:dyDescent="0.35">
      <c r="A56" s="2" t="s">
        <v>66</v>
      </c>
      <c r="B56" s="2">
        <v>599.9</v>
      </c>
      <c r="C56" s="2">
        <v>567.79999999999995</v>
      </c>
      <c r="D56" s="2">
        <v>16.05</v>
      </c>
      <c r="E56" s="2">
        <v>428.7</v>
      </c>
      <c r="F56" s="2">
        <v>201.6</v>
      </c>
      <c r="G56" s="2">
        <v>212</v>
      </c>
      <c r="H56" s="2">
        <f t="shared" si="7"/>
        <v>50.459773391999988</v>
      </c>
      <c r="I56" s="2">
        <v>1.72</v>
      </c>
      <c r="J56" s="2">
        <f t="shared" si="8"/>
        <v>86.790810234239984</v>
      </c>
      <c r="K56" s="5">
        <v>84</v>
      </c>
      <c r="L56" s="5">
        <f t="shared" si="2"/>
        <v>4238.620964927999</v>
      </c>
      <c r="M56" s="5">
        <f t="shared" si="3"/>
        <v>7290.4280596761582</v>
      </c>
    </row>
    <row r="57" spans="1:13" ht="14.5" x14ac:dyDescent="0.35">
      <c r="A57" s="2" t="s">
        <v>67</v>
      </c>
      <c r="B57" s="2">
        <v>596.9</v>
      </c>
      <c r="C57" s="2">
        <v>565.20000000000005</v>
      </c>
      <c r="D57" s="2">
        <v>15.85</v>
      </c>
      <c r="E57" s="2">
        <v>428.8</v>
      </c>
      <c r="F57" s="2">
        <v>201.6</v>
      </c>
      <c r="G57" s="2">
        <v>212</v>
      </c>
      <c r="H57" s="2">
        <f t="shared" si="7"/>
        <v>50.229494784000003</v>
      </c>
      <c r="I57" s="2">
        <v>1.72</v>
      </c>
      <c r="J57" s="2">
        <f t="shared" si="8"/>
        <v>86.39473102848001</v>
      </c>
      <c r="K57" s="5">
        <v>86</v>
      </c>
      <c r="L57" s="5">
        <f t="shared" si="2"/>
        <v>4319.736551424</v>
      </c>
      <c r="M57" s="5">
        <f t="shared" si="3"/>
        <v>7429.9468684492804</v>
      </c>
    </row>
    <row r="58" spans="1:13" ht="14.5" x14ac:dyDescent="0.35">
      <c r="A58" s="2" t="s">
        <v>68</v>
      </c>
      <c r="B58" s="2">
        <v>594</v>
      </c>
      <c r="C58" s="2">
        <v>562.6</v>
      </c>
      <c r="D58" s="2">
        <v>15.7</v>
      </c>
      <c r="E58" s="2">
        <v>428.9</v>
      </c>
      <c r="F58" s="2">
        <v>201.6</v>
      </c>
      <c r="G58" s="2">
        <v>213</v>
      </c>
      <c r="H58" s="2">
        <f t="shared" si="7"/>
        <v>50.00342659199999</v>
      </c>
      <c r="I58" s="2">
        <v>1.72</v>
      </c>
      <c r="J58" s="2">
        <f t="shared" si="8"/>
        <v>86.005893738239976</v>
      </c>
      <c r="K58" s="5">
        <v>86</v>
      </c>
      <c r="L58" s="5">
        <f t="shared" si="2"/>
        <v>4300.2946869119987</v>
      </c>
      <c r="M58" s="5">
        <f t="shared" si="3"/>
        <v>7396.5068614886377</v>
      </c>
    </row>
    <row r="59" spans="1:13" ht="14.5" x14ac:dyDescent="0.35"/>
    <row r="64" spans="1:13" ht="23.5" customHeight="1" x14ac:dyDescent="0.35">
      <c r="D64" s="7"/>
    </row>
  </sheetData>
  <autoFilter ref="A1:M58" xr:uid="{6334BDF2-97EF-48AE-B9A4-6B6CB8A50B3D}"/>
  <printOptions horizontalCentered="1" verticalCentered="1"/>
  <pageMargins left="0" right="0" top="0.74803149606299213" bottom="0.74803149606299213" header="0.31496062992125984" footer="0.31496062992125984"/>
  <pageSetup paperSize="9" scale="7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EE4B-766B-495D-B180-09DCD12D482A}">
  <dimension ref="A1:C8"/>
  <sheetViews>
    <sheetView zoomScale="130" zoomScaleNormal="130" workbookViewId="0">
      <selection activeCell="C7" sqref="C7"/>
    </sheetView>
  </sheetViews>
  <sheetFormatPr defaultRowHeight="14.5" x14ac:dyDescent="0.35"/>
  <cols>
    <col min="1" max="1" width="75.7265625" bestFit="1" customWidth="1"/>
  </cols>
  <sheetData>
    <row r="1" spans="1:3" ht="15" thickBot="1" x14ac:dyDescent="0.4"/>
    <row r="2" spans="1:3" ht="15.5" thickBot="1" x14ac:dyDescent="0.4">
      <c r="A2" s="17" t="s">
        <v>85</v>
      </c>
      <c r="B2" s="18"/>
      <c r="C2" s="14" t="s">
        <v>84</v>
      </c>
    </row>
    <row r="3" spans="1:3" ht="15.5" thickBot="1" x14ac:dyDescent="0.4">
      <c r="A3" s="13" t="s">
        <v>86</v>
      </c>
      <c r="B3" s="14">
        <v>8</v>
      </c>
      <c r="C3" s="14"/>
    </row>
    <row r="4" spans="1:3" ht="15.5" thickBot="1" x14ac:dyDescent="0.4">
      <c r="A4" s="13" t="s">
        <v>87</v>
      </c>
      <c r="B4" s="14">
        <v>1</v>
      </c>
      <c r="C4" s="14" t="s">
        <v>1</v>
      </c>
    </row>
    <row r="5" spans="1:3" ht="15.5" thickBot="1" x14ac:dyDescent="0.4">
      <c r="A5" s="13" t="s">
        <v>88</v>
      </c>
      <c r="B5" s="14">
        <v>1</v>
      </c>
      <c r="C5" s="14" t="s">
        <v>1</v>
      </c>
    </row>
    <row r="6" spans="1:3" ht="15.5" thickBot="1" x14ac:dyDescent="0.4">
      <c r="A6" s="13" t="s">
        <v>89</v>
      </c>
      <c r="B6" s="14">
        <v>3</v>
      </c>
      <c r="C6" s="14" t="s">
        <v>92</v>
      </c>
    </row>
    <row r="7" spans="1:3" ht="15.5" thickBot="1" x14ac:dyDescent="0.4">
      <c r="A7" s="13" t="s">
        <v>90</v>
      </c>
      <c r="B7" s="14">
        <v>3</v>
      </c>
      <c r="C7" s="14">
        <v>3</v>
      </c>
    </row>
    <row r="8" spans="1:3" x14ac:dyDescent="0.35">
      <c r="A8" s="15" t="s">
        <v>91</v>
      </c>
    </row>
  </sheetData>
  <mergeCells count="1">
    <mergeCell ref="A2:B2"/>
  </mergeCells>
  <pageMargins left="0.7" right="0.7" top="0.75" bottom="0.75" header="0.3" footer="0.3"/>
  <pageSetup orientation="portrait" horizontalDpi="0" verticalDpi="0" r:id="rId1"/>
</worksheet>
</file>

<file path=docMetadata/LabelInfo.xml><?xml version="1.0" encoding="utf-8"?>
<clbl:labelList xmlns:clbl="http://schemas.microsoft.com/office/2020/mipLabelMetadata">
  <clbl:label id="{68b740fe-e664-4150-8ed6-9d401b411767}" enabled="0" method="" siteId="{68b740fe-e664-4150-8ed6-9d401b4117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Saxena, H</dc:creator>
  <cp:keywords/>
  <dc:description/>
  <cp:lastModifiedBy>Saxena, H</cp:lastModifiedBy>
  <cp:revision/>
  <dcterms:created xsi:type="dcterms:W3CDTF">2023-09-26T09:03:14Z</dcterms:created>
  <dcterms:modified xsi:type="dcterms:W3CDTF">2025-11-17T11:01:06Z</dcterms:modified>
  <cp:category/>
  <cp:contentStatus/>
</cp:coreProperties>
</file>